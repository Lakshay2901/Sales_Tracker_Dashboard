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 Tracker" sheetId="1" r:id="rId5"/>
    <sheet state="visible" name="Dashboard" sheetId="2" r:id="rId6"/>
    <sheet state="visible" name="Support Sheet" sheetId="3" r:id="rId7"/>
  </sheets>
  <definedNames/>
  <calcPr/>
</workbook>
</file>

<file path=xl/sharedStrings.xml><?xml version="1.0" encoding="utf-8"?>
<sst xmlns="http://schemas.openxmlformats.org/spreadsheetml/2006/main" count="1239" uniqueCount="124">
  <si>
    <t>Sales Tracker</t>
  </si>
  <si>
    <t>Date</t>
  </si>
  <si>
    <t>Product</t>
  </si>
  <si>
    <t>Sales Quantity</t>
  </si>
  <si>
    <t>Sales Price</t>
  </si>
  <si>
    <t>Total Sales</t>
  </si>
  <si>
    <t>State</t>
  </si>
  <si>
    <t>Salesperson</t>
  </si>
  <si>
    <t>Payment Method</t>
  </si>
  <si>
    <t>Profit</t>
  </si>
  <si>
    <t>Product A</t>
  </si>
  <si>
    <t>Kansas</t>
  </si>
  <si>
    <t>Isabella</t>
  </si>
  <si>
    <t>Credit Card</t>
  </si>
  <si>
    <t>Alaska</t>
  </si>
  <si>
    <t>Emma</t>
  </si>
  <si>
    <t>Tennessee</t>
  </si>
  <si>
    <t>Ryan</t>
  </si>
  <si>
    <t>Cash</t>
  </si>
  <si>
    <t>Product C</t>
  </si>
  <si>
    <t>Hawaii</t>
  </si>
  <si>
    <t>Mia</t>
  </si>
  <si>
    <t>Connecticut</t>
  </si>
  <si>
    <t>Grace</t>
  </si>
  <si>
    <t>Product D</t>
  </si>
  <si>
    <t>Missouri</t>
  </si>
  <si>
    <t>Online Payment</t>
  </si>
  <si>
    <t>California</t>
  </si>
  <si>
    <t>Anna</t>
  </si>
  <si>
    <t>Ella</t>
  </si>
  <si>
    <t>Product B</t>
  </si>
  <si>
    <t>Texas</t>
  </si>
  <si>
    <t>Ohio</t>
  </si>
  <si>
    <t>Liam</t>
  </si>
  <si>
    <t>Wyoming</t>
  </si>
  <si>
    <t>David</t>
  </si>
  <si>
    <t>Oregon</t>
  </si>
  <si>
    <t>Amelia</t>
  </si>
  <si>
    <t>Hannah</t>
  </si>
  <si>
    <t>Iowa</t>
  </si>
  <si>
    <t>Chris</t>
  </si>
  <si>
    <t>Utah</t>
  </si>
  <si>
    <t>Oklahoma</t>
  </si>
  <si>
    <t>John</t>
  </si>
  <si>
    <t>Nevada</t>
  </si>
  <si>
    <t>Ethan</t>
  </si>
  <si>
    <t>South Dakota</t>
  </si>
  <si>
    <t>Charlotte</t>
  </si>
  <si>
    <t>Chloe</t>
  </si>
  <si>
    <t>Maryland</t>
  </si>
  <si>
    <t>Rhode Island</t>
  </si>
  <si>
    <t>Henry</t>
  </si>
  <si>
    <t>Michigan</t>
  </si>
  <si>
    <t>Mike</t>
  </si>
  <si>
    <t>Louisiana</t>
  </si>
  <si>
    <t>Emily</t>
  </si>
  <si>
    <t>Nebraska</t>
  </si>
  <si>
    <t>Ava</t>
  </si>
  <si>
    <t>Washington</t>
  </si>
  <si>
    <t>Sophia</t>
  </si>
  <si>
    <t>Indiana</t>
  </si>
  <si>
    <t>Jack</t>
  </si>
  <si>
    <t>New Jersey</t>
  </si>
  <si>
    <t>Zoe</t>
  </si>
  <si>
    <t>New Mexico</t>
  </si>
  <si>
    <t>Matthew</t>
  </si>
  <si>
    <t>South Carolina</t>
  </si>
  <si>
    <t>Virginia</t>
  </si>
  <si>
    <t>Wisconsin</t>
  </si>
  <si>
    <t>Lily</t>
  </si>
  <si>
    <t>North Carolina</t>
  </si>
  <si>
    <t>Benjamin</t>
  </si>
  <si>
    <t>New Hampshire</t>
  </si>
  <si>
    <t>William</t>
  </si>
  <si>
    <t>Arkansas</t>
  </si>
  <si>
    <t>Florida</t>
  </si>
  <si>
    <t>Olivia</t>
  </si>
  <si>
    <t>Sophie</t>
  </si>
  <si>
    <t>Lucas</t>
  </si>
  <si>
    <t>Vermont</t>
  </si>
  <si>
    <t>Montana</t>
  </si>
  <si>
    <t>Kentucky</t>
  </si>
  <si>
    <t>James</t>
  </si>
  <si>
    <t>Alabama</t>
  </si>
  <si>
    <t>Victoria</t>
  </si>
  <si>
    <t>Daniel</t>
  </si>
  <si>
    <t>Georgia</t>
  </si>
  <si>
    <t>Nathan</t>
  </si>
  <si>
    <t>Noah</t>
  </si>
  <si>
    <t>Minnesota</t>
  </si>
  <si>
    <t>Samantha</t>
  </si>
  <si>
    <t>Oliver</t>
  </si>
  <si>
    <t>West Virginia</t>
  </si>
  <si>
    <t>Andrew</t>
  </si>
  <si>
    <t>New York</t>
  </si>
  <si>
    <t>Massachusetts</t>
  </si>
  <si>
    <t>Colorado</t>
  </si>
  <si>
    <t>North Dakota</t>
  </si>
  <si>
    <t>Maine</t>
  </si>
  <si>
    <t>Pennsylvania</t>
  </si>
  <si>
    <t>Illinois</t>
  </si>
  <si>
    <t>Mississippi</t>
  </si>
  <si>
    <t>Arizona</t>
  </si>
  <si>
    <t>Idaho</t>
  </si>
  <si>
    <t>Mason</t>
  </si>
  <si>
    <t>Delaware</t>
  </si>
  <si>
    <t>Note: Profit = Total Sales x random margin (20%-45%), generated synthetically for this sample dataset.</t>
  </si>
  <si>
    <t>Month</t>
  </si>
  <si>
    <t>January</t>
  </si>
  <si>
    <t>TOTAL SALES</t>
  </si>
  <si>
    <t>HIGHEST SALE FOR MONTH</t>
  </si>
  <si>
    <t>TOTAL PROFIT</t>
  </si>
  <si>
    <t xml:space="preserve">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</si>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</sst>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"/>
  </numFmts>
  <fonts count="13">
    <font>
      <sz val="11.0"/>
      <color theme="1"/>
      <name val="Calibri"/>
      <scheme val="minor"/>
    </font>
    <font>
      <b/>
      <sz val="20.0"/>
      <color rgb="FFFFFFFF"/>
      <name val="Arial"/>
    </font>
    <font>
      <b/>
      <sz val="9.0"/>
      <color rgb="FFFFFFFF"/>
      <name val="Arial"/>
    </font>
    <font>
      <sz val="8.0"/>
      <color theme="1"/>
      <name val="Calibri"/>
      <scheme val="minor"/>
    </font>
    <font>
      <color theme="1"/>
      <name val="Calibri"/>
      <scheme val="minor"/>
    </font>
    <font>
      <i/>
      <sz val="9.0"/>
      <color rgb="FF808080"/>
      <name val="Arial"/>
    </font>
    <font>
      <b/>
      <sz val="13.0"/>
      <color rgb="FFFFFFFF"/>
      <name val="Arial"/>
    </font>
    <font>
      <b/>
      <sz val="10.0"/>
      <color rgb="FFCC0000"/>
      <name val="Arial"/>
    </font>
    <font>
      <b/>
      <sz val="11.0"/>
      <color rgb="FFA61C00"/>
      <name val="Arial"/>
    </font>
    <font>
      <b/>
      <sz val="12.0"/>
      <color rgb="FFFFFFFF"/>
      <name val="Arial"/>
    </font>
    <font>
      <b/>
      <sz val="10.0"/>
      <color theme="1"/>
      <name val="Arial"/>
    </font>
    <font>
      <sz val="12.0"/>
      <color theme="1"/>
      <name val="Calibri"/>
      <scheme val="minor"/>
    </font>
    <font>
      <sz val="8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783F04"/>
        <bgColor rgb="FF783F04"/>
      </patternFill>
    </fill>
    <fill>
      <patternFill patternType="solid">
        <fgColor rgb="FFEFEFEF"/>
        <bgColor rgb="FFEFEFEF"/>
      </patternFill>
    </fill>
  </fills>
  <borders count="3">
    <border/>
    <border>
      <left style="thin">
        <color rgb="FFF4CCCC"/>
      </left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CC0000"/>
      </left>
      <right style="thin">
        <color rgb="FFCC0000"/>
      </right>
      <top style="thin">
        <color rgb="FFCC0000"/>
      </top>
      <bottom style="thin">
        <color rgb="FFCC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3" fontId="2" numFmtId="0" xfId="0" applyAlignment="1" applyFill="1" applyFont="1">
      <alignment horizontal="center" shrinkToFit="0" vertical="center" wrapText="0"/>
    </xf>
    <xf borderId="1" fillId="4" fontId="2" numFmtId="0" xfId="0" applyAlignment="1" applyBorder="1" applyFill="1" applyFont="1">
      <alignment horizontal="center" shrinkToFit="0" vertical="center" wrapText="0"/>
    </xf>
    <xf borderId="1" fillId="0" fontId="3" numFmtId="164" xfId="0" applyBorder="1" applyFont="1" applyNumberFormat="1"/>
    <xf borderId="1" fillId="0" fontId="3" numFmtId="0" xfId="0" applyBorder="1" applyFont="1"/>
    <xf borderId="1" fillId="0" fontId="3" numFmtId="3" xfId="0" applyBorder="1" applyFont="1" applyNumberFormat="1"/>
    <xf borderId="1" fillId="0" fontId="3" numFmtId="4" xfId="0" applyBorder="1" applyFont="1" applyNumberFormat="1"/>
    <xf borderId="0" fillId="0" fontId="4" numFmtId="0" xfId="0" applyAlignment="1" applyFont="1">
      <alignment vertical="center"/>
    </xf>
    <xf borderId="0" fillId="0" fontId="5" numFmtId="0" xfId="0" applyAlignment="1" applyFont="1">
      <alignment shrinkToFit="0" vertical="bottom" wrapText="0"/>
    </xf>
    <xf borderId="0" fillId="5" fontId="1" numFmtId="0" xfId="0" applyAlignment="1" applyFill="1" applyFont="1">
      <alignment horizontal="center" readingOrder="0" shrinkToFit="0" vertical="center" wrapText="0"/>
    </xf>
    <xf borderId="0" fillId="5" fontId="6" numFmtId="0" xfId="0" applyAlignment="1" applyFont="1">
      <alignment horizontal="center" readingOrder="0" vertical="center"/>
    </xf>
    <xf borderId="2" fillId="3" fontId="7" numFmtId="0" xfId="0" applyAlignment="1" applyBorder="1" applyFont="1">
      <alignment readingOrder="0" vertical="center"/>
    </xf>
    <xf borderId="0" fillId="0" fontId="8" numFmtId="0" xfId="0" applyAlignment="1" applyFont="1">
      <alignment horizontal="center" readingOrder="0" vertical="center"/>
    </xf>
    <xf borderId="0" fillId="5" fontId="9" numFmtId="3" xfId="0" applyAlignment="1" applyFont="1" applyNumberFormat="1">
      <alignment horizontal="center" readingOrder="0" vertical="center"/>
    </xf>
    <xf borderId="0" fillId="5" fontId="9" numFmtId="3" xfId="0" applyAlignment="1" applyFont="1" applyNumberFormat="1">
      <alignment horizontal="center" vertical="center"/>
    </xf>
    <xf borderId="2" fillId="6" fontId="10" numFmtId="0" xfId="0" applyAlignment="1" applyBorder="1" applyFill="1" applyFont="1">
      <alignment horizontal="center" vertical="center"/>
    </xf>
    <xf borderId="0" fillId="0" fontId="11" numFmtId="0" xfId="0" applyFont="1"/>
    <xf borderId="0" fillId="0" fontId="4" numFmtId="0" xfId="0" applyAlignment="1" applyFont="1">
      <alignment readingOrder="0"/>
    </xf>
    <xf borderId="0" fillId="5" fontId="9" numFmtId="4" xfId="0" applyAlignment="1" applyFont="1" applyNumberFormat="1">
      <alignment horizontal="center" readingOrder="0" vertical="center"/>
    </xf>
    <xf borderId="1" fillId="0" fontId="12" numFmtId="164" xfId="0" applyBorder="1" applyFont="1" applyNumberFormat="1"/>
    <xf borderId="1" fillId="0" fontId="12" numFmtId="0" xfId="0" applyBorder="1" applyFont="1"/>
    <xf borderId="1" fillId="0" fontId="12" numFmtId="3" xfId="0" applyBorder="1" applyFont="1" applyNumberFormat="1"/>
    <xf borderId="1" fillId="0" fontId="12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3.png"/><Relationship Id="rId3" Type="http://schemas.openxmlformats.org/officeDocument/2006/relationships/image" Target="../media/Chart4.png"/><Relationship Id="rId4" Type="http://schemas.openxmlformats.org/officeDocument/2006/relationships/image" Target="../media/Chart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114300</xdr:colOff>
      <xdr:row>1</xdr:row>
      <xdr:rowOff>38100</xdr:rowOff>
    </xdr:from>
    <xdr:ext cx="2524125" cy="1123950"/>
    <xdr:pic>
      <xdr:nvPicPr>
        <xdr:cNvPr id="4184279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1</xdr:row>
      <xdr:rowOff>38100</xdr:rowOff>
    </xdr:from>
    <xdr:ext cx="2381250" cy="1190625"/>
    <xdr:pic>
      <xdr:nvPicPr>
        <xdr:cNvPr id="1558024087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171450</xdr:colOff>
      <xdr:row>1</xdr:row>
      <xdr:rowOff>38100</xdr:rowOff>
    </xdr:from>
    <xdr:ext cx="4362450" cy="1190625"/>
    <xdr:pic>
      <xdr:nvPicPr>
        <xdr:cNvPr id="961374540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7</xdr:row>
      <xdr:rowOff>95250</xdr:rowOff>
    </xdr:from>
    <xdr:ext cx="2324100" cy="1123950"/>
    <xdr:pic>
      <xdr:nvPicPr>
        <xdr:cNvPr id="498888077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1362075</xdr:colOff>
      <xdr:row>7</xdr:row>
      <xdr:rowOff>161925</xdr:rowOff>
    </xdr:from>
    <xdr:ext cx="6972300" cy="1123950"/>
    <xdr:pic>
      <xdr:nvPicPr>
        <xdr:cNvPr id="1073017267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17.14"/>
    <col customWidth="1" min="3" max="3" width="15.0"/>
    <col customWidth="1" min="4" max="5" width="12.0"/>
    <col customWidth="1" min="6" max="6" width="16.0"/>
    <col customWidth="1" min="7" max="7" width="14.0"/>
    <col customWidth="1" min="8" max="8" width="16.0"/>
    <col customWidth="1" min="9" max="9" width="12.0"/>
    <col customWidth="1" min="10" max="26" width="8.71"/>
  </cols>
  <sheetData>
    <row r="1" ht="24.0" customHeight="1">
      <c r="A1" s="1" t="s">
        <v>0</v>
      </c>
    </row>
    <row r="2">
      <c r="A2" s="2"/>
      <c r="B2" s="2"/>
      <c r="C2" s="2"/>
      <c r="D2" s="2"/>
      <c r="E2" s="2"/>
      <c r="F2" s="2"/>
      <c r="G2" s="2"/>
      <c r="H2" s="2"/>
      <c r="I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>
      <c r="A4" s="4">
        <v>45619.0</v>
      </c>
      <c r="B4" s="5" t="s">
        <v>10</v>
      </c>
      <c r="C4" s="5">
        <v>1.0</v>
      </c>
      <c r="D4" s="6">
        <v>397.0</v>
      </c>
      <c r="E4" s="6">
        <f t="shared" ref="E4:E303" si="1">C4*D4</f>
        <v>397</v>
      </c>
      <c r="F4" s="5" t="s">
        <v>11</v>
      </c>
      <c r="G4" s="5" t="s">
        <v>12</v>
      </c>
      <c r="H4" s="5" t="s">
        <v>13</v>
      </c>
      <c r="I4" s="7">
        <f>ROUND(E4*0.4209,2)</f>
        <v>167.1</v>
      </c>
    </row>
    <row r="5">
      <c r="A5" s="4">
        <v>45638.0</v>
      </c>
      <c r="B5" s="5" t="s">
        <v>10</v>
      </c>
      <c r="C5" s="5">
        <v>19.0</v>
      </c>
      <c r="D5" s="6">
        <v>269.0</v>
      </c>
      <c r="E5" s="6">
        <f t="shared" si="1"/>
        <v>5111</v>
      </c>
      <c r="F5" s="5" t="s">
        <v>14</v>
      </c>
      <c r="G5" s="5" t="s">
        <v>15</v>
      </c>
      <c r="H5" s="5" t="s">
        <v>13</v>
      </c>
      <c r="I5" s="7">
        <f>ROUND(E5*0.2698,2)</f>
        <v>1378.95</v>
      </c>
    </row>
    <row r="6">
      <c r="A6" s="4">
        <v>45600.0</v>
      </c>
      <c r="B6" s="5" t="s">
        <v>10</v>
      </c>
      <c r="C6" s="5">
        <v>18.0</v>
      </c>
      <c r="D6" s="6">
        <v>180.0</v>
      </c>
      <c r="E6" s="6">
        <f t="shared" si="1"/>
        <v>3240</v>
      </c>
      <c r="F6" s="5" t="s">
        <v>16</v>
      </c>
      <c r="G6" s="5" t="s">
        <v>17</v>
      </c>
      <c r="H6" s="5" t="s">
        <v>18</v>
      </c>
      <c r="I6" s="7">
        <f>ROUND(E6*0.2661,2)</f>
        <v>862.16</v>
      </c>
    </row>
    <row r="7">
      <c r="A7" s="4">
        <v>45593.0</v>
      </c>
      <c r="B7" s="5" t="s">
        <v>19</v>
      </c>
      <c r="C7" s="5">
        <v>1.0</v>
      </c>
      <c r="D7" s="6">
        <v>404.0</v>
      </c>
      <c r="E7" s="6">
        <f t="shared" si="1"/>
        <v>404</v>
      </c>
      <c r="F7" s="5" t="s">
        <v>20</v>
      </c>
      <c r="G7" s="5" t="s">
        <v>21</v>
      </c>
      <c r="H7" s="5" t="s">
        <v>18</v>
      </c>
      <c r="I7" s="7">
        <f>ROUND(E7*0.2834,2)</f>
        <v>114.49</v>
      </c>
    </row>
    <row r="8">
      <c r="A8" s="4">
        <v>45402.0</v>
      </c>
      <c r="B8" s="5" t="s">
        <v>19</v>
      </c>
      <c r="C8" s="5">
        <v>4.0</v>
      </c>
      <c r="D8" s="6">
        <v>137.0</v>
      </c>
      <c r="E8" s="6">
        <f t="shared" si="1"/>
        <v>548</v>
      </c>
      <c r="F8" s="5" t="s">
        <v>22</v>
      </c>
      <c r="G8" s="5" t="s">
        <v>23</v>
      </c>
      <c r="H8" s="5" t="s">
        <v>18</v>
      </c>
      <c r="I8" s="7">
        <f>ROUND(E8*0.3811,2)</f>
        <v>208.84</v>
      </c>
    </row>
    <row r="9">
      <c r="A9" s="4">
        <v>45314.0</v>
      </c>
      <c r="B9" s="5" t="s">
        <v>24</v>
      </c>
      <c r="C9" s="5">
        <v>18.0</v>
      </c>
      <c r="D9" s="6">
        <v>150.0</v>
      </c>
      <c r="E9" s="6">
        <f t="shared" si="1"/>
        <v>2700</v>
      </c>
      <c r="F9" s="5" t="s">
        <v>25</v>
      </c>
      <c r="G9" s="5" t="s">
        <v>15</v>
      </c>
      <c r="H9" s="5" t="s">
        <v>26</v>
      </c>
      <c r="I9" s="7">
        <f>ROUND(E9*0.288,2)</f>
        <v>777.6</v>
      </c>
    </row>
    <row r="10">
      <c r="A10" s="4">
        <v>45613.0</v>
      </c>
      <c r="B10" s="5" t="s">
        <v>19</v>
      </c>
      <c r="C10" s="5">
        <v>19.0</v>
      </c>
      <c r="D10" s="6">
        <v>177.0</v>
      </c>
      <c r="E10" s="6">
        <f t="shared" si="1"/>
        <v>3363</v>
      </c>
      <c r="F10" s="5" t="s">
        <v>27</v>
      </c>
      <c r="G10" s="5" t="s">
        <v>28</v>
      </c>
      <c r="H10" s="5" t="s">
        <v>26</v>
      </c>
      <c r="I10" s="7">
        <f>ROUND(E10*0.2684,2)</f>
        <v>902.63</v>
      </c>
      <c r="J10" s="8"/>
    </row>
    <row r="11">
      <c r="A11" s="4">
        <v>45440.0</v>
      </c>
      <c r="B11" s="5" t="s">
        <v>10</v>
      </c>
      <c r="C11" s="5">
        <v>8.0</v>
      </c>
      <c r="D11" s="6">
        <v>447.0</v>
      </c>
      <c r="E11" s="6">
        <f t="shared" si="1"/>
        <v>3576</v>
      </c>
      <c r="F11" s="5" t="s">
        <v>25</v>
      </c>
      <c r="G11" s="5" t="s">
        <v>29</v>
      </c>
      <c r="H11" s="5" t="s">
        <v>18</v>
      </c>
      <c r="I11" s="7">
        <f>ROUND(E11*0.3907,2)</f>
        <v>1397.14</v>
      </c>
    </row>
    <row r="12">
      <c r="A12" s="4">
        <v>45478.0</v>
      </c>
      <c r="B12" s="5" t="s">
        <v>30</v>
      </c>
      <c r="C12" s="5">
        <v>12.0</v>
      </c>
      <c r="D12" s="6">
        <v>242.0</v>
      </c>
      <c r="E12" s="6">
        <f t="shared" si="1"/>
        <v>2904</v>
      </c>
      <c r="F12" s="5" t="s">
        <v>31</v>
      </c>
      <c r="G12" s="5" t="s">
        <v>29</v>
      </c>
      <c r="H12" s="5" t="s">
        <v>26</v>
      </c>
      <c r="I12" s="7">
        <f>ROUND(E12*0.481,2)</f>
        <v>1396.82</v>
      </c>
    </row>
    <row r="13">
      <c r="A13" s="4">
        <v>45623.0</v>
      </c>
      <c r="B13" s="5" t="s">
        <v>10</v>
      </c>
      <c r="C13" s="5">
        <v>20.0</v>
      </c>
      <c r="D13" s="6">
        <v>354.0</v>
      </c>
      <c r="E13" s="6">
        <f t="shared" si="1"/>
        <v>7080</v>
      </c>
      <c r="F13" s="5" t="s">
        <v>32</v>
      </c>
      <c r="G13" s="5" t="s">
        <v>33</v>
      </c>
      <c r="H13" s="5" t="s">
        <v>13</v>
      </c>
      <c r="I13" s="7">
        <f>ROUND(E13*0.3387,2)</f>
        <v>2398</v>
      </c>
    </row>
    <row r="14">
      <c r="A14" s="4">
        <v>45430.0</v>
      </c>
      <c r="B14" s="5" t="s">
        <v>30</v>
      </c>
      <c r="C14" s="5">
        <v>11.0</v>
      </c>
      <c r="D14" s="6">
        <v>437.0</v>
      </c>
      <c r="E14" s="6">
        <f t="shared" si="1"/>
        <v>4807</v>
      </c>
      <c r="F14" s="5" t="s">
        <v>34</v>
      </c>
      <c r="G14" s="5" t="s">
        <v>35</v>
      </c>
      <c r="H14" s="5" t="s">
        <v>13</v>
      </c>
      <c r="I14" s="7">
        <f>ROUND(E14*0.4465,2)</f>
        <v>2146.33</v>
      </c>
    </row>
    <row r="15">
      <c r="A15" s="4">
        <v>45453.0</v>
      </c>
      <c r="B15" s="5" t="s">
        <v>24</v>
      </c>
      <c r="C15" s="5">
        <v>9.0</v>
      </c>
      <c r="D15" s="6">
        <v>126.0</v>
      </c>
      <c r="E15" s="6">
        <f t="shared" si="1"/>
        <v>1134</v>
      </c>
      <c r="F15" s="5" t="s">
        <v>36</v>
      </c>
      <c r="G15" s="5" t="s">
        <v>37</v>
      </c>
      <c r="H15" s="5" t="s">
        <v>13</v>
      </c>
      <c r="I15" s="7">
        <f>ROUND(E15*0.3966,2)</f>
        <v>449.74</v>
      </c>
    </row>
    <row r="16">
      <c r="A16" s="4">
        <v>45494.0</v>
      </c>
      <c r="B16" s="5" t="s">
        <v>24</v>
      </c>
      <c r="C16" s="5">
        <v>5.0</v>
      </c>
      <c r="D16" s="6">
        <v>206.0</v>
      </c>
      <c r="E16" s="6">
        <f t="shared" si="1"/>
        <v>1030</v>
      </c>
      <c r="F16" s="5" t="s">
        <v>11</v>
      </c>
      <c r="G16" s="5" t="s">
        <v>38</v>
      </c>
      <c r="H16" s="5" t="s">
        <v>26</v>
      </c>
      <c r="I16" s="7">
        <f>ROUND(E16*0.2788,2)</f>
        <v>287.16</v>
      </c>
    </row>
    <row r="17">
      <c r="A17" s="4">
        <v>45591.0</v>
      </c>
      <c r="B17" s="5" t="s">
        <v>24</v>
      </c>
      <c r="C17" s="5">
        <v>19.0</v>
      </c>
      <c r="D17" s="6">
        <v>260.0</v>
      </c>
      <c r="E17" s="6">
        <f t="shared" si="1"/>
        <v>4940</v>
      </c>
      <c r="F17" s="5" t="s">
        <v>39</v>
      </c>
      <c r="G17" s="5" t="s">
        <v>40</v>
      </c>
      <c r="H17" s="5" t="s">
        <v>26</v>
      </c>
      <c r="I17" s="7">
        <f>ROUND(E17*0.3481,2)</f>
        <v>1719.61</v>
      </c>
    </row>
    <row r="18">
      <c r="A18" s="4">
        <v>45316.0</v>
      </c>
      <c r="B18" s="5" t="s">
        <v>10</v>
      </c>
      <c r="C18" s="5">
        <v>5.0</v>
      </c>
      <c r="D18" s="6">
        <v>351.0</v>
      </c>
      <c r="E18" s="6">
        <f t="shared" si="1"/>
        <v>1755</v>
      </c>
      <c r="F18" s="5" t="s">
        <v>41</v>
      </c>
      <c r="G18" s="5" t="s">
        <v>21</v>
      </c>
      <c r="H18" s="5" t="s">
        <v>26</v>
      </c>
      <c r="I18" s="7">
        <f>ROUND(E18*0.2191,2)</f>
        <v>384.52</v>
      </c>
    </row>
    <row r="19">
      <c r="A19" s="4">
        <v>45487.0</v>
      </c>
      <c r="B19" s="5" t="s">
        <v>24</v>
      </c>
      <c r="C19" s="5">
        <v>17.0</v>
      </c>
      <c r="D19" s="6">
        <v>201.0</v>
      </c>
      <c r="E19" s="6">
        <f t="shared" si="1"/>
        <v>3417</v>
      </c>
      <c r="F19" s="5" t="s">
        <v>42</v>
      </c>
      <c r="G19" s="5" t="s">
        <v>43</v>
      </c>
      <c r="H19" s="5" t="s">
        <v>26</v>
      </c>
      <c r="I19" s="7">
        <f>ROUND(E19*0.4162,2)</f>
        <v>1422.16</v>
      </c>
    </row>
    <row r="20">
      <c r="A20" s="4">
        <v>45641.0</v>
      </c>
      <c r="B20" s="5" t="s">
        <v>19</v>
      </c>
      <c r="C20" s="5">
        <v>11.0</v>
      </c>
      <c r="D20" s="6">
        <v>145.0</v>
      </c>
      <c r="E20" s="6">
        <f t="shared" si="1"/>
        <v>1595</v>
      </c>
      <c r="F20" s="5" t="s">
        <v>44</v>
      </c>
      <c r="G20" s="5" t="s">
        <v>45</v>
      </c>
      <c r="H20" s="5" t="s">
        <v>18</v>
      </c>
      <c r="I20" s="7">
        <f>ROUND(E20*0.201,2)</f>
        <v>320.6</v>
      </c>
    </row>
    <row r="21">
      <c r="A21" s="4">
        <v>45426.0</v>
      </c>
      <c r="B21" s="5" t="s">
        <v>30</v>
      </c>
      <c r="C21" s="5">
        <v>17.0</v>
      </c>
      <c r="D21" s="6">
        <v>465.0</v>
      </c>
      <c r="E21" s="6">
        <f t="shared" si="1"/>
        <v>7905</v>
      </c>
      <c r="F21" s="5" t="s">
        <v>46</v>
      </c>
      <c r="G21" s="5" t="s">
        <v>47</v>
      </c>
      <c r="H21" s="5" t="s">
        <v>26</v>
      </c>
      <c r="I21" s="7">
        <f>ROUND(E21*0.3523,2)</f>
        <v>2784.93</v>
      </c>
    </row>
    <row r="22">
      <c r="A22" s="4">
        <v>45393.0</v>
      </c>
      <c r="B22" s="5" t="s">
        <v>30</v>
      </c>
      <c r="C22" s="5">
        <v>12.0</v>
      </c>
      <c r="D22" s="6">
        <v>405.0</v>
      </c>
      <c r="E22" s="6">
        <f t="shared" si="1"/>
        <v>4860</v>
      </c>
      <c r="F22" s="5" t="s">
        <v>32</v>
      </c>
      <c r="G22" s="5" t="s">
        <v>48</v>
      </c>
      <c r="H22" s="5" t="s">
        <v>13</v>
      </c>
      <c r="I22" s="7">
        <f>ROUND(E22*0.3797,2)</f>
        <v>1845.34</v>
      </c>
    </row>
    <row r="23" ht="15.75" customHeight="1">
      <c r="A23" s="4">
        <v>45542.0</v>
      </c>
      <c r="B23" s="5" t="s">
        <v>10</v>
      </c>
      <c r="C23" s="5">
        <v>4.0</v>
      </c>
      <c r="D23" s="6">
        <v>472.0</v>
      </c>
      <c r="E23" s="6">
        <f t="shared" si="1"/>
        <v>1888</v>
      </c>
      <c r="F23" s="5" t="s">
        <v>49</v>
      </c>
      <c r="G23" s="5" t="s">
        <v>33</v>
      </c>
      <c r="H23" s="5" t="s">
        <v>13</v>
      </c>
      <c r="I23" s="7">
        <f>ROUND(E23*0.2723,2)</f>
        <v>514.1</v>
      </c>
    </row>
    <row r="24" ht="15.75" customHeight="1">
      <c r="A24" s="4">
        <v>45582.0</v>
      </c>
      <c r="B24" s="5" t="s">
        <v>10</v>
      </c>
      <c r="C24" s="5">
        <v>3.0</v>
      </c>
      <c r="D24" s="6">
        <v>393.0</v>
      </c>
      <c r="E24" s="6">
        <f t="shared" si="1"/>
        <v>1179</v>
      </c>
      <c r="F24" s="5" t="s">
        <v>27</v>
      </c>
      <c r="G24" s="5" t="s">
        <v>17</v>
      </c>
      <c r="H24" s="5" t="s">
        <v>13</v>
      </c>
      <c r="I24" s="7">
        <f>ROUND(E24*0.2385,2)</f>
        <v>281.19</v>
      </c>
    </row>
    <row r="25" ht="15.75" customHeight="1">
      <c r="A25" s="4">
        <v>45535.0</v>
      </c>
      <c r="B25" s="5" t="s">
        <v>30</v>
      </c>
      <c r="C25" s="5">
        <v>9.0</v>
      </c>
      <c r="D25" s="6">
        <v>311.0</v>
      </c>
      <c r="E25" s="6">
        <f t="shared" si="1"/>
        <v>2799</v>
      </c>
      <c r="F25" s="5" t="s">
        <v>50</v>
      </c>
      <c r="G25" s="5" t="s">
        <v>21</v>
      </c>
      <c r="H25" s="5" t="s">
        <v>13</v>
      </c>
      <c r="I25" s="7">
        <f>ROUND(E25*0.4787,2)</f>
        <v>1339.88</v>
      </c>
    </row>
    <row r="26" ht="15.75" customHeight="1">
      <c r="A26" s="4">
        <v>45645.0</v>
      </c>
      <c r="B26" s="5" t="s">
        <v>30</v>
      </c>
      <c r="C26" s="5">
        <v>10.0</v>
      </c>
      <c r="D26" s="6">
        <v>260.0</v>
      </c>
      <c r="E26" s="6">
        <f t="shared" si="1"/>
        <v>2600</v>
      </c>
      <c r="F26" s="5" t="s">
        <v>31</v>
      </c>
      <c r="G26" s="5" t="s">
        <v>51</v>
      </c>
      <c r="H26" s="5" t="s">
        <v>18</v>
      </c>
      <c r="I26" s="7">
        <f>ROUND(E26*0.4699,2)</f>
        <v>1221.74</v>
      </c>
    </row>
    <row r="27" ht="15.75" customHeight="1">
      <c r="A27" s="4">
        <v>45523.0</v>
      </c>
      <c r="B27" s="5" t="s">
        <v>10</v>
      </c>
      <c r="C27" s="5">
        <v>8.0</v>
      </c>
      <c r="D27" s="6">
        <v>190.0</v>
      </c>
      <c r="E27" s="6">
        <f t="shared" si="1"/>
        <v>1520</v>
      </c>
      <c r="F27" s="5" t="s">
        <v>52</v>
      </c>
      <c r="G27" s="5" t="s">
        <v>53</v>
      </c>
      <c r="H27" s="5" t="s">
        <v>26</v>
      </c>
      <c r="I27" s="7">
        <f>ROUND(E27*0.3662,2)</f>
        <v>556.62</v>
      </c>
    </row>
    <row r="28" ht="15.75" customHeight="1">
      <c r="A28" s="4">
        <v>45593.0</v>
      </c>
      <c r="B28" s="5" t="s">
        <v>30</v>
      </c>
      <c r="C28" s="5">
        <v>1.0</v>
      </c>
      <c r="D28" s="6">
        <v>128.0</v>
      </c>
      <c r="E28" s="6">
        <f t="shared" si="1"/>
        <v>128</v>
      </c>
      <c r="F28" s="5" t="s">
        <v>46</v>
      </c>
      <c r="G28" s="5" t="s">
        <v>35</v>
      </c>
      <c r="H28" s="5" t="s">
        <v>13</v>
      </c>
      <c r="I28" s="7">
        <f>ROUND(E28*0.2202,2)</f>
        <v>28.19</v>
      </c>
    </row>
    <row r="29" ht="15.75" customHeight="1">
      <c r="A29" s="4">
        <v>45308.0</v>
      </c>
      <c r="B29" s="5" t="s">
        <v>19</v>
      </c>
      <c r="C29" s="5">
        <v>3.0</v>
      </c>
      <c r="D29" s="6">
        <v>306.0</v>
      </c>
      <c r="E29" s="6">
        <f t="shared" si="1"/>
        <v>918</v>
      </c>
      <c r="F29" s="5" t="s">
        <v>54</v>
      </c>
      <c r="G29" s="5" t="s">
        <v>55</v>
      </c>
      <c r="H29" s="5" t="s">
        <v>13</v>
      </c>
      <c r="I29" s="7">
        <f>ROUND(E29*0.3618,2)</f>
        <v>332.13</v>
      </c>
    </row>
    <row r="30" ht="15.75" customHeight="1">
      <c r="A30" s="4">
        <v>45584.0</v>
      </c>
      <c r="B30" s="5" t="s">
        <v>24</v>
      </c>
      <c r="C30" s="5">
        <v>8.0</v>
      </c>
      <c r="D30" s="6">
        <v>414.0</v>
      </c>
      <c r="E30" s="6">
        <f t="shared" si="1"/>
        <v>3312</v>
      </c>
      <c r="F30" s="5" t="s">
        <v>56</v>
      </c>
      <c r="G30" s="5" t="s">
        <v>57</v>
      </c>
      <c r="H30" s="5" t="s">
        <v>13</v>
      </c>
      <c r="I30" s="7">
        <f>ROUND(E30*0.2291,2)</f>
        <v>758.78</v>
      </c>
    </row>
    <row r="31" ht="15.75" customHeight="1">
      <c r="A31" s="4">
        <v>45512.0</v>
      </c>
      <c r="B31" s="5" t="s">
        <v>19</v>
      </c>
      <c r="C31" s="5">
        <v>14.0</v>
      </c>
      <c r="D31" s="6">
        <v>264.0</v>
      </c>
      <c r="E31" s="6">
        <f t="shared" si="1"/>
        <v>3696</v>
      </c>
      <c r="F31" s="5" t="s">
        <v>58</v>
      </c>
      <c r="G31" s="5" t="s">
        <v>35</v>
      </c>
      <c r="H31" s="5" t="s">
        <v>26</v>
      </c>
      <c r="I31" s="7">
        <f>ROUND(E31*0.396,2)</f>
        <v>1463.62</v>
      </c>
    </row>
    <row r="32" ht="15.75" customHeight="1">
      <c r="A32" s="4">
        <v>45622.0</v>
      </c>
      <c r="B32" s="5" t="s">
        <v>10</v>
      </c>
      <c r="C32" s="5">
        <v>2.0</v>
      </c>
      <c r="D32" s="6">
        <v>261.0</v>
      </c>
      <c r="E32" s="6">
        <f t="shared" si="1"/>
        <v>522</v>
      </c>
      <c r="F32" s="5" t="s">
        <v>52</v>
      </c>
      <c r="G32" s="5" t="s">
        <v>59</v>
      </c>
      <c r="H32" s="5" t="s">
        <v>13</v>
      </c>
      <c r="I32" s="7">
        <f>ROUND(E32*0.2575,2)</f>
        <v>134.42</v>
      </c>
    </row>
    <row r="33" ht="15.75" customHeight="1">
      <c r="A33" s="4">
        <v>45566.0</v>
      </c>
      <c r="B33" s="5" t="s">
        <v>24</v>
      </c>
      <c r="C33" s="5">
        <v>5.0</v>
      </c>
      <c r="D33" s="6">
        <v>269.0</v>
      </c>
      <c r="E33" s="6">
        <f t="shared" si="1"/>
        <v>1345</v>
      </c>
      <c r="F33" s="5" t="s">
        <v>54</v>
      </c>
      <c r="G33" s="5" t="s">
        <v>57</v>
      </c>
      <c r="H33" s="5" t="s">
        <v>13</v>
      </c>
      <c r="I33" s="7">
        <f>ROUND(E33*0.4623,2)</f>
        <v>621.79</v>
      </c>
    </row>
    <row r="34" ht="15.75" customHeight="1">
      <c r="A34" s="4">
        <v>45330.0</v>
      </c>
      <c r="B34" s="5" t="s">
        <v>24</v>
      </c>
      <c r="C34" s="5">
        <v>18.0</v>
      </c>
      <c r="D34" s="6">
        <v>139.0</v>
      </c>
      <c r="E34" s="6">
        <f t="shared" si="1"/>
        <v>2502</v>
      </c>
      <c r="F34" s="5" t="s">
        <v>16</v>
      </c>
      <c r="G34" s="5" t="s">
        <v>17</v>
      </c>
      <c r="H34" s="5" t="s">
        <v>13</v>
      </c>
      <c r="I34" s="7">
        <f>ROUND(E34*0.4907,2)</f>
        <v>1227.73</v>
      </c>
    </row>
    <row r="35" ht="15.75" customHeight="1">
      <c r="A35" s="4">
        <v>45413.0</v>
      </c>
      <c r="B35" s="5" t="s">
        <v>30</v>
      </c>
      <c r="C35" s="5">
        <v>14.0</v>
      </c>
      <c r="D35" s="6">
        <v>294.0</v>
      </c>
      <c r="E35" s="6">
        <f t="shared" si="1"/>
        <v>4116</v>
      </c>
      <c r="F35" s="5" t="s">
        <v>60</v>
      </c>
      <c r="G35" s="5" t="s">
        <v>61</v>
      </c>
      <c r="H35" s="5" t="s">
        <v>13</v>
      </c>
      <c r="I35" s="7">
        <f>ROUND(E35*0.2494,2)</f>
        <v>1026.53</v>
      </c>
    </row>
    <row r="36" ht="15.75" customHeight="1">
      <c r="A36" s="4">
        <v>45293.0</v>
      </c>
      <c r="B36" s="5" t="s">
        <v>24</v>
      </c>
      <c r="C36" s="5">
        <v>9.0</v>
      </c>
      <c r="D36" s="6">
        <v>471.0</v>
      </c>
      <c r="E36" s="6">
        <f t="shared" si="1"/>
        <v>4239</v>
      </c>
      <c r="F36" s="5" t="s">
        <v>62</v>
      </c>
      <c r="G36" s="5" t="s">
        <v>63</v>
      </c>
      <c r="H36" s="5" t="s">
        <v>18</v>
      </c>
      <c r="I36" s="7">
        <f>ROUND(E36*0.409,2)</f>
        <v>1733.75</v>
      </c>
    </row>
    <row r="37" ht="15.75" customHeight="1">
      <c r="A37" s="4">
        <v>45576.0</v>
      </c>
      <c r="B37" s="5" t="s">
        <v>24</v>
      </c>
      <c r="C37" s="5">
        <v>5.0</v>
      </c>
      <c r="D37" s="6">
        <v>176.0</v>
      </c>
      <c r="E37" s="6">
        <f t="shared" si="1"/>
        <v>880</v>
      </c>
      <c r="F37" s="5" t="s">
        <v>60</v>
      </c>
      <c r="G37" s="5" t="s">
        <v>35</v>
      </c>
      <c r="H37" s="5" t="s">
        <v>26</v>
      </c>
      <c r="I37" s="7">
        <f>ROUND(E37*0.4207,2)</f>
        <v>370.22</v>
      </c>
    </row>
    <row r="38" ht="15.75" customHeight="1">
      <c r="A38" s="4">
        <v>45323.0</v>
      </c>
      <c r="B38" s="5" t="s">
        <v>19</v>
      </c>
      <c r="C38" s="5">
        <v>2.0</v>
      </c>
      <c r="D38" s="6">
        <v>120.0</v>
      </c>
      <c r="E38" s="6">
        <f t="shared" si="1"/>
        <v>240</v>
      </c>
      <c r="F38" s="5" t="s">
        <v>64</v>
      </c>
      <c r="G38" s="5" t="s">
        <v>65</v>
      </c>
      <c r="H38" s="5" t="s">
        <v>26</v>
      </c>
      <c r="I38" s="7">
        <f>ROUND(E38*0.2472,2)</f>
        <v>59.33</v>
      </c>
    </row>
    <row r="39" ht="15.75" customHeight="1">
      <c r="A39" s="4">
        <v>45552.0</v>
      </c>
      <c r="B39" s="5" t="s">
        <v>10</v>
      </c>
      <c r="C39" s="5">
        <v>6.0</v>
      </c>
      <c r="D39" s="6">
        <v>127.0</v>
      </c>
      <c r="E39" s="6">
        <f t="shared" si="1"/>
        <v>762</v>
      </c>
      <c r="F39" s="5" t="s">
        <v>27</v>
      </c>
      <c r="G39" s="5" t="s">
        <v>33</v>
      </c>
      <c r="H39" s="5" t="s">
        <v>18</v>
      </c>
      <c r="I39" s="7">
        <f>ROUND(E39*0.236,2)</f>
        <v>179.83</v>
      </c>
    </row>
    <row r="40" ht="15.75" customHeight="1">
      <c r="A40" s="4">
        <v>45583.0</v>
      </c>
      <c r="B40" s="5" t="s">
        <v>30</v>
      </c>
      <c r="C40" s="5">
        <v>19.0</v>
      </c>
      <c r="D40" s="6">
        <v>338.0</v>
      </c>
      <c r="E40" s="6">
        <f t="shared" si="1"/>
        <v>6422</v>
      </c>
      <c r="F40" s="5" t="s">
        <v>66</v>
      </c>
      <c r="G40" s="5" t="s">
        <v>15</v>
      </c>
      <c r="H40" s="5" t="s">
        <v>18</v>
      </c>
      <c r="I40" s="7">
        <f>ROUND(E40*0.3972,2)</f>
        <v>2550.82</v>
      </c>
    </row>
    <row r="41" ht="15.75" customHeight="1">
      <c r="A41" s="4">
        <v>45581.0</v>
      </c>
      <c r="B41" s="5" t="s">
        <v>19</v>
      </c>
      <c r="C41" s="5">
        <v>9.0</v>
      </c>
      <c r="D41" s="6">
        <v>182.0</v>
      </c>
      <c r="E41" s="6">
        <f t="shared" si="1"/>
        <v>1638</v>
      </c>
      <c r="F41" s="5" t="s">
        <v>67</v>
      </c>
      <c r="G41" s="5" t="s">
        <v>37</v>
      </c>
      <c r="H41" s="5" t="s">
        <v>13</v>
      </c>
      <c r="I41" s="7">
        <f>ROUND(E41*0.2797,2)</f>
        <v>458.15</v>
      </c>
    </row>
    <row r="42" ht="15.75" customHeight="1">
      <c r="A42" s="4">
        <v>45359.0</v>
      </c>
      <c r="B42" s="5" t="s">
        <v>19</v>
      </c>
      <c r="C42" s="5">
        <v>15.0</v>
      </c>
      <c r="D42" s="6">
        <v>226.0</v>
      </c>
      <c r="E42" s="6">
        <f t="shared" si="1"/>
        <v>3390</v>
      </c>
      <c r="F42" s="5" t="s">
        <v>68</v>
      </c>
      <c r="G42" s="5" t="s">
        <v>69</v>
      </c>
      <c r="H42" s="5" t="s">
        <v>13</v>
      </c>
      <c r="I42" s="7">
        <f>ROUND(E42*0.3375,2)</f>
        <v>1144.13</v>
      </c>
    </row>
    <row r="43" ht="15.75" customHeight="1">
      <c r="A43" s="4">
        <v>45580.0</v>
      </c>
      <c r="B43" s="5" t="s">
        <v>10</v>
      </c>
      <c r="C43" s="5">
        <v>3.0</v>
      </c>
      <c r="D43" s="6">
        <v>315.0</v>
      </c>
      <c r="E43" s="6">
        <f t="shared" si="1"/>
        <v>945</v>
      </c>
      <c r="F43" s="5" t="s">
        <v>70</v>
      </c>
      <c r="G43" s="5" t="s">
        <v>71</v>
      </c>
      <c r="H43" s="5" t="s">
        <v>13</v>
      </c>
      <c r="I43" s="7">
        <f>ROUND(E43*0.48,2)</f>
        <v>453.6</v>
      </c>
    </row>
    <row r="44" ht="15.75" customHeight="1">
      <c r="A44" s="4">
        <v>45327.0</v>
      </c>
      <c r="B44" s="5" t="s">
        <v>30</v>
      </c>
      <c r="C44" s="5">
        <v>12.0</v>
      </c>
      <c r="D44" s="6">
        <v>214.0</v>
      </c>
      <c r="E44" s="6">
        <f t="shared" si="1"/>
        <v>2568</v>
      </c>
      <c r="F44" s="5" t="s">
        <v>72</v>
      </c>
      <c r="G44" s="5" t="s">
        <v>17</v>
      </c>
      <c r="H44" s="5" t="s">
        <v>26</v>
      </c>
      <c r="I44" s="7">
        <f>ROUND(E44*0.2908,2)</f>
        <v>746.77</v>
      </c>
    </row>
    <row r="45" ht="15.75" customHeight="1">
      <c r="A45" s="4">
        <v>45626.0</v>
      </c>
      <c r="B45" s="5" t="s">
        <v>10</v>
      </c>
      <c r="C45" s="5">
        <v>18.0</v>
      </c>
      <c r="D45" s="6">
        <v>220.0</v>
      </c>
      <c r="E45" s="6">
        <f t="shared" si="1"/>
        <v>3960</v>
      </c>
      <c r="F45" s="5" t="s">
        <v>31</v>
      </c>
      <c r="G45" s="5" t="s">
        <v>59</v>
      </c>
      <c r="H45" s="5" t="s">
        <v>13</v>
      </c>
      <c r="I45" s="7">
        <f>ROUND(E45*0.2793,2)</f>
        <v>1106.03</v>
      </c>
    </row>
    <row r="46" ht="15.75" customHeight="1">
      <c r="A46" s="4">
        <v>45346.0</v>
      </c>
      <c r="B46" s="5" t="s">
        <v>30</v>
      </c>
      <c r="C46" s="5">
        <v>9.0</v>
      </c>
      <c r="D46" s="6">
        <v>213.0</v>
      </c>
      <c r="E46" s="6">
        <f t="shared" si="1"/>
        <v>1917</v>
      </c>
      <c r="F46" s="5" t="s">
        <v>60</v>
      </c>
      <c r="G46" s="5" t="s">
        <v>73</v>
      </c>
      <c r="H46" s="5" t="s">
        <v>13</v>
      </c>
      <c r="I46" s="7">
        <f>ROUND(E46*0.4062,2)</f>
        <v>778.69</v>
      </c>
    </row>
    <row r="47" ht="15.75" customHeight="1">
      <c r="A47" s="4">
        <v>45427.0</v>
      </c>
      <c r="B47" s="5" t="s">
        <v>24</v>
      </c>
      <c r="C47" s="5">
        <v>9.0</v>
      </c>
      <c r="D47" s="6">
        <v>462.0</v>
      </c>
      <c r="E47" s="6">
        <f t="shared" si="1"/>
        <v>4158</v>
      </c>
      <c r="F47" s="5" t="s">
        <v>74</v>
      </c>
      <c r="G47" s="5" t="s">
        <v>15</v>
      </c>
      <c r="H47" s="5" t="s">
        <v>26</v>
      </c>
      <c r="I47" s="7">
        <f>ROUND(E47*0.3271,2)</f>
        <v>1360.08</v>
      </c>
    </row>
    <row r="48" ht="15.75" customHeight="1">
      <c r="A48" s="4">
        <v>45433.0</v>
      </c>
      <c r="B48" s="5" t="s">
        <v>10</v>
      </c>
      <c r="C48" s="5">
        <v>1.0</v>
      </c>
      <c r="D48" s="6">
        <v>233.0</v>
      </c>
      <c r="E48" s="6">
        <f t="shared" si="1"/>
        <v>233</v>
      </c>
      <c r="F48" s="5" t="s">
        <v>75</v>
      </c>
      <c r="G48" s="5" t="s">
        <v>71</v>
      </c>
      <c r="H48" s="5" t="s">
        <v>13</v>
      </c>
      <c r="I48" s="7">
        <f>ROUND(E48*0.4224,2)</f>
        <v>98.42</v>
      </c>
    </row>
    <row r="49" ht="15.75" customHeight="1">
      <c r="A49" s="4">
        <v>45574.0</v>
      </c>
      <c r="B49" s="5" t="s">
        <v>24</v>
      </c>
      <c r="C49" s="5">
        <v>18.0</v>
      </c>
      <c r="D49" s="6">
        <v>104.0</v>
      </c>
      <c r="E49" s="6">
        <f t="shared" si="1"/>
        <v>1872</v>
      </c>
      <c r="F49" s="5" t="s">
        <v>27</v>
      </c>
      <c r="G49" s="5" t="s">
        <v>76</v>
      </c>
      <c r="H49" s="5" t="s">
        <v>26</v>
      </c>
      <c r="I49" s="7">
        <f>ROUND(E49*0.2108,2)</f>
        <v>394.62</v>
      </c>
    </row>
    <row r="50" ht="15.75" customHeight="1">
      <c r="A50" s="4">
        <v>45481.0</v>
      </c>
      <c r="B50" s="5" t="s">
        <v>30</v>
      </c>
      <c r="C50" s="5">
        <v>14.0</v>
      </c>
      <c r="D50" s="6">
        <v>151.0</v>
      </c>
      <c r="E50" s="6">
        <f t="shared" si="1"/>
        <v>2114</v>
      </c>
      <c r="F50" s="5" t="s">
        <v>49</v>
      </c>
      <c r="G50" s="5" t="s">
        <v>51</v>
      </c>
      <c r="H50" s="5" t="s">
        <v>13</v>
      </c>
      <c r="I50" s="7">
        <f>ROUND(E50*0.4697,2)</f>
        <v>992.95</v>
      </c>
    </row>
    <row r="51" ht="15.75" customHeight="1">
      <c r="A51" s="4">
        <v>45399.0</v>
      </c>
      <c r="B51" s="5" t="s">
        <v>30</v>
      </c>
      <c r="C51" s="5">
        <v>4.0</v>
      </c>
      <c r="D51" s="6">
        <v>241.0</v>
      </c>
      <c r="E51" s="6">
        <f t="shared" si="1"/>
        <v>964</v>
      </c>
      <c r="F51" s="5" t="s">
        <v>42</v>
      </c>
      <c r="G51" s="5" t="s">
        <v>77</v>
      </c>
      <c r="H51" s="5" t="s">
        <v>26</v>
      </c>
      <c r="I51" s="7">
        <f>ROUND(E51*0.4248,2)</f>
        <v>409.51</v>
      </c>
    </row>
    <row r="52" ht="15.75" customHeight="1">
      <c r="A52" s="4">
        <v>45413.0</v>
      </c>
      <c r="B52" s="5" t="s">
        <v>30</v>
      </c>
      <c r="C52" s="5">
        <v>6.0</v>
      </c>
      <c r="D52" s="6">
        <v>453.0</v>
      </c>
      <c r="E52" s="6">
        <f t="shared" si="1"/>
        <v>2718</v>
      </c>
      <c r="F52" s="5" t="s">
        <v>14</v>
      </c>
      <c r="G52" s="5" t="s">
        <v>78</v>
      </c>
      <c r="H52" s="5" t="s">
        <v>26</v>
      </c>
      <c r="I52" s="7">
        <f>ROUND(E52*0.4773,2)</f>
        <v>1297.3</v>
      </c>
    </row>
    <row r="53" ht="15.75" customHeight="1">
      <c r="A53" s="4">
        <v>45502.0</v>
      </c>
      <c r="B53" s="5" t="s">
        <v>30</v>
      </c>
      <c r="C53" s="5">
        <v>9.0</v>
      </c>
      <c r="D53" s="6">
        <v>164.0</v>
      </c>
      <c r="E53" s="6">
        <f t="shared" si="1"/>
        <v>1476</v>
      </c>
      <c r="F53" s="5" t="s">
        <v>79</v>
      </c>
      <c r="G53" s="5" t="s">
        <v>59</v>
      </c>
      <c r="H53" s="5" t="s">
        <v>18</v>
      </c>
      <c r="I53" s="7">
        <f>ROUND(E53*0.4617,2)</f>
        <v>681.47</v>
      </c>
    </row>
    <row r="54" ht="15.75" customHeight="1">
      <c r="A54" s="4">
        <v>45532.0</v>
      </c>
      <c r="B54" s="5" t="s">
        <v>30</v>
      </c>
      <c r="C54" s="5">
        <v>7.0</v>
      </c>
      <c r="D54" s="6">
        <v>427.0</v>
      </c>
      <c r="E54" s="6">
        <f t="shared" si="1"/>
        <v>2989</v>
      </c>
      <c r="F54" s="5" t="s">
        <v>62</v>
      </c>
      <c r="G54" s="5" t="s">
        <v>23</v>
      </c>
      <c r="H54" s="5" t="s">
        <v>18</v>
      </c>
      <c r="I54" s="7">
        <f>ROUND(E54*0.4462,2)</f>
        <v>1333.69</v>
      </c>
    </row>
    <row r="55" ht="15.75" customHeight="1">
      <c r="A55" s="4">
        <v>45408.0</v>
      </c>
      <c r="B55" s="5" t="s">
        <v>30</v>
      </c>
      <c r="C55" s="5">
        <v>1.0</v>
      </c>
      <c r="D55" s="6">
        <v>364.0</v>
      </c>
      <c r="E55" s="6">
        <f t="shared" si="1"/>
        <v>364</v>
      </c>
      <c r="F55" s="5" t="s">
        <v>80</v>
      </c>
      <c r="G55" s="5" t="s">
        <v>73</v>
      </c>
      <c r="H55" s="5" t="s">
        <v>18</v>
      </c>
      <c r="I55" s="7">
        <f>ROUND(E55*0.4593,2)</f>
        <v>167.19</v>
      </c>
    </row>
    <row r="56" ht="15.75" customHeight="1">
      <c r="A56" s="4">
        <v>45434.0</v>
      </c>
      <c r="B56" s="5" t="s">
        <v>19</v>
      </c>
      <c r="C56" s="5">
        <v>17.0</v>
      </c>
      <c r="D56" s="6">
        <v>260.0</v>
      </c>
      <c r="E56" s="6">
        <f t="shared" si="1"/>
        <v>4420</v>
      </c>
      <c r="F56" s="5" t="s">
        <v>32</v>
      </c>
      <c r="G56" s="5" t="s">
        <v>73</v>
      </c>
      <c r="H56" s="5" t="s">
        <v>13</v>
      </c>
      <c r="I56" s="7">
        <f>ROUND(E56*0.2346,2)</f>
        <v>1036.93</v>
      </c>
    </row>
    <row r="57" ht="15.75" customHeight="1">
      <c r="A57" s="4">
        <v>45425.0</v>
      </c>
      <c r="B57" s="5" t="s">
        <v>30</v>
      </c>
      <c r="C57" s="5">
        <v>19.0</v>
      </c>
      <c r="D57" s="6">
        <v>485.0</v>
      </c>
      <c r="E57" s="6">
        <f t="shared" si="1"/>
        <v>9215</v>
      </c>
      <c r="F57" s="5" t="s">
        <v>81</v>
      </c>
      <c r="G57" s="5" t="s">
        <v>28</v>
      </c>
      <c r="H57" s="5" t="s">
        <v>13</v>
      </c>
      <c r="I57" s="7">
        <f>ROUND(E57*0.379,2)</f>
        <v>3492.49</v>
      </c>
    </row>
    <row r="58" ht="15.75" customHeight="1">
      <c r="A58" s="4">
        <v>45468.0</v>
      </c>
      <c r="B58" s="5" t="s">
        <v>19</v>
      </c>
      <c r="C58" s="5">
        <v>14.0</v>
      </c>
      <c r="D58" s="6">
        <v>342.0</v>
      </c>
      <c r="E58" s="6">
        <f t="shared" si="1"/>
        <v>4788</v>
      </c>
      <c r="F58" s="5" t="s">
        <v>70</v>
      </c>
      <c r="G58" s="5" t="s">
        <v>82</v>
      </c>
      <c r="H58" s="5" t="s">
        <v>18</v>
      </c>
      <c r="I58" s="7">
        <f>ROUND(E58*0.4699,2)</f>
        <v>2249.88</v>
      </c>
    </row>
    <row r="59" ht="15.75" customHeight="1">
      <c r="A59" s="4">
        <v>45389.0</v>
      </c>
      <c r="B59" s="5" t="s">
        <v>19</v>
      </c>
      <c r="C59" s="5">
        <v>2.0</v>
      </c>
      <c r="D59" s="6">
        <v>384.0</v>
      </c>
      <c r="E59" s="6">
        <f t="shared" si="1"/>
        <v>768</v>
      </c>
      <c r="F59" s="5" t="s">
        <v>83</v>
      </c>
      <c r="G59" s="5" t="s">
        <v>48</v>
      </c>
      <c r="H59" s="5" t="s">
        <v>26</v>
      </c>
      <c r="I59" s="7">
        <f>ROUND(E59*0.4061,2)</f>
        <v>311.88</v>
      </c>
    </row>
    <row r="60" ht="15.75" customHeight="1">
      <c r="A60" s="4">
        <v>45635.0</v>
      </c>
      <c r="B60" s="5" t="s">
        <v>30</v>
      </c>
      <c r="C60" s="5">
        <v>12.0</v>
      </c>
      <c r="D60" s="6">
        <v>273.0</v>
      </c>
      <c r="E60" s="6">
        <f t="shared" si="1"/>
        <v>3276</v>
      </c>
      <c r="F60" s="5" t="s">
        <v>31</v>
      </c>
      <c r="G60" s="5" t="s">
        <v>73</v>
      </c>
      <c r="H60" s="5" t="s">
        <v>26</v>
      </c>
      <c r="I60" s="7">
        <f>ROUND(E60*0.2942,2)</f>
        <v>963.8</v>
      </c>
    </row>
    <row r="61" ht="15.75" customHeight="1">
      <c r="A61" s="4">
        <v>45355.0</v>
      </c>
      <c r="B61" s="5" t="s">
        <v>19</v>
      </c>
      <c r="C61" s="5">
        <v>17.0</v>
      </c>
      <c r="D61" s="6">
        <v>224.0</v>
      </c>
      <c r="E61" s="6">
        <f t="shared" si="1"/>
        <v>3808</v>
      </c>
      <c r="F61" s="5" t="s">
        <v>56</v>
      </c>
      <c r="G61" s="5" t="s">
        <v>37</v>
      </c>
      <c r="H61" s="5" t="s">
        <v>18</v>
      </c>
      <c r="I61" s="7">
        <f>ROUND(E61*0.4092,2)</f>
        <v>1558.23</v>
      </c>
    </row>
    <row r="62" ht="15.75" customHeight="1">
      <c r="A62" s="4">
        <v>45575.0</v>
      </c>
      <c r="B62" s="5" t="s">
        <v>30</v>
      </c>
      <c r="C62" s="5">
        <v>7.0</v>
      </c>
      <c r="D62" s="6">
        <v>268.0</v>
      </c>
      <c r="E62" s="6">
        <f t="shared" si="1"/>
        <v>1876</v>
      </c>
      <c r="F62" s="5" t="s">
        <v>25</v>
      </c>
      <c r="G62" s="5" t="s">
        <v>78</v>
      </c>
      <c r="H62" s="5" t="s">
        <v>26</v>
      </c>
      <c r="I62" s="7">
        <f>ROUND(E62*0.3707,2)</f>
        <v>695.43</v>
      </c>
    </row>
    <row r="63" ht="15.75" customHeight="1">
      <c r="A63" s="4">
        <v>45499.0</v>
      </c>
      <c r="B63" s="5" t="s">
        <v>10</v>
      </c>
      <c r="C63" s="5">
        <v>10.0</v>
      </c>
      <c r="D63" s="6">
        <v>215.0</v>
      </c>
      <c r="E63" s="6">
        <f t="shared" si="1"/>
        <v>2150</v>
      </c>
      <c r="F63" s="5" t="s">
        <v>44</v>
      </c>
      <c r="G63" s="5" t="s">
        <v>84</v>
      </c>
      <c r="H63" s="5" t="s">
        <v>26</v>
      </c>
      <c r="I63" s="7">
        <f>ROUND(E63*0.3964,2)</f>
        <v>852.26</v>
      </c>
    </row>
    <row r="64" ht="15.75" customHeight="1">
      <c r="A64" s="4">
        <v>45530.0</v>
      </c>
      <c r="B64" s="5" t="s">
        <v>24</v>
      </c>
      <c r="C64" s="5">
        <v>15.0</v>
      </c>
      <c r="D64" s="6">
        <v>370.0</v>
      </c>
      <c r="E64" s="6">
        <f t="shared" si="1"/>
        <v>5550</v>
      </c>
      <c r="F64" s="5" t="s">
        <v>70</v>
      </c>
      <c r="G64" s="5" t="s">
        <v>85</v>
      </c>
      <c r="H64" s="5" t="s">
        <v>26</v>
      </c>
      <c r="I64" s="7">
        <f>ROUND(E64*0.2509,2)</f>
        <v>1392.5</v>
      </c>
    </row>
    <row r="65" ht="15.75" customHeight="1">
      <c r="A65" s="4">
        <v>45335.0</v>
      </c>
      <c r="B65" s="5" t="s">
        <v>19</v>
      </c>
      <c r="C65" s="5">
        <v>17.0</v>
      </c>
      <c r="D65" s="6">
        <v>366.0</v>
      </c>
      <c r="E65" s="6">
        <f t="shared" si="1"/>
        <v>6222</v>
      </c>
      <c r="F65" s="5" t="s">
        <v>66</v>
      </c>
      <c r="G65" s="5" t="s">
        <v>73</v>
      </c>
      <c r="H65" s="5" t="s">
        <v>13</v>
      </c>
      <c r="I65" s="7">
        <f>ROUND(E65*0.4455,2)</f>
        <v>2771.9</v>
      </c>
    </row>
    <row r="66" ht="15.75" customHeight="1">
      <c r="A66" s="4">
        <v>45412.0</v>
      </c>
      <c r="B66" s="5" t="s">
        <v>19</v>
      </c>
      <c r="C66" s="5">
        <v>8.0</v>
      </c>
      <c r="D66" s="6">
        <v>423.0</v>
      </c>
      <c r="E66" s="6">
        <f t="shared" si="1"/>
        <v>3384</v>
      </c>
      <c r="F66" s="5" t="s">
        <v>86</v>
      </c>
      <c r="G66" s="5" t="s">
        <v>53</v>
      </c>
      <c r="H66" s="5" t="s">
        <v>13</v>
      </c>
      <c r="I66" s="7">
        <f>ROUND(E66*0.2735,2)</f>
        <v>925.52</v>
      </c>
    </row>
    <row r="67" ht="15.75" customHeight="1">
      <c r="A67" s="4">
        <v>45535.0</v>
      </c>
      <c r="B67" s="5" t="s">
        <v>10</v>
      </c>
      <c r="C67" s="5">
        <v>15.0</v>
      </c>
      <c r="D67" s="6">
        <v>266.0</v>
      </c>
      <c r="E67" s="6">
        <f t="shared" si="1"/>
        <v>3990</v>
      </c>
      <c r="F67" s="5" t="s">
        <v>46</v>
      </c>
      <c r="G67" s="5" t="s">
        <v>87</v>
      </c>
      <c r="H67" s="5" t="s">
        <v>13</v>
      </c>
      <c r="I67" s="7">
        <f>ROUND(E67*0.4155,2)</f>
        <v>1657.85</v>
      </c>
    </row>
    <row r="68" ht="15.75" customHeight="1">
      <c r="A68" s="4">
        <v>45488.0</v>
      </c>
      <c r="B68" s="5" t="s">
        <v>24</v>
      </c>
      <c r="C68" s="5">
        <v>13.0</v>
      </c>
      <c r="D68" s="6">
        <v>198.0</v>
      </c>
      <c r="E68" s="6">
        <f t="shared" si="1"/>
        <v>2574</v>
      </c>
      <c r="F68" s="5" t="s">
        <v>16</v>
      </c>
      <c r="G68" s="5" t="s">
        <v>43</v>
      </c>
      <c r="H68" s="5" t="s">
        <v>13</v>
      </c>
      <c r="I68" s="7">
        <f>ROUND(E68*0.4335,2)</f>
        <v>1115.83</v>
      </c>
    </row>
    <row r="69" ht="15.75" customHeight="1">
      <c r="A69" s="4">
        <v>45404.0</v>
      </c>
      <c r="B69" s="5" t="s">
        <v>30</v>
      </c>
      <c r="C69" s="5">
        <v>17.0</v>
      </c>
      <c r="D69" s="6">
        <v>286.0</v>
      </c>
      <c r="E69" s="6">
        <f t="shared" si="1"/>
        <v>4862</v>
      </c>
      <c r="F69" s="5" t="s">
        <v>42</v>
      </c>
      <c r="G69" s="5" t="s">
        <v>33</v>
      </c>
      <c r="H69" s="5" t="s">
        <v>13</v>
      </c>
      <c r="I69" s="7">
        <f>ROUND(E69*0.3369,2)</f>
        <v>1638.01</v>
      </c>
    </row>
    <row r="70" ht="15.75" customHeight="1">
      <c r="A70" s="4">
        <v>45529.0</v>
      </c>
      <c r="B70" s="5" t="s">
        <v>19</v>
      </c>
      <c r="C70" s="5">
        <v>15.0</v>
      </c>
      <c r="D70" s="6">
        <v>345.0</v>
      </c>
      <c r="E70" s="6">
        <f t="shared" si="1"/>
        <v>5175</v>
      </c>
      <c r="F70" s="5" t="s">
        <v>58</v>
      </c>
      <c r="G70" s="5" t="s">
        <v>65</v>
      </c>
      <c r="H70" s="5" t="s">
        <v>18</v>
      </c>
      <c r="I70" s="7">
        <f>ROUND(E70*0.4492,2)</f>
        <v>2324.61</v>
      </c>
    </row>
    <row r="71" ht="15.75" customHeight="1">
      <c r="A71" s="4">
        <v>45572.0</v>
      </c>
      <c r="B71" s="5" t="s">
        <v>24</v>
      </c>
      <c r="C71" s="5">
        <v>6.0</v>
      </c>
      <c r="D71" s="6">
        <v>397.0</v>
      </c>
      <c r="E71" s="6">
        <f t="shared" si="1"/>
        <v>2382</v>
      </c>
      <c r="F71" s="5" t="s">
        <v>64</v>
      </c>
      <c r="G71" s="5" t="s">
        <v>88</v>
      </c>
      <c r="H71" s="5" t="s">
        <v>18</v>
      </c>
      <c r="I71" s="7">
        <f>ROUND(E71*0.4255,2)</f>
        <v>1013.54</v>
      </c>
    </row>
    <row r="72" ht="15.75" customHeight="1">
      <c r="A72" s="4">
        <v>45618.0</v>
      </c>
      <c r="B72" s="5" t="s">
        <v>19</v>
      </c>
      <c r="C72" s="5">
        <v>17.0</v>
      </c>
      <c r="D72" s="6">
        <v>294.0</v>
      </c>
      <c r="E72" s="6">
        <f t="shared" si="1"/>
        <v>4998</v>
      </c>
      <c r="F72" s="5" t="s">
        <v>11</v>
      </c>
      <c r="G72" s="5" t="s">
        <v>29</v>
      </c>
      <c r="H72" s="5" t="s">
        <v>18</v>
      </c>
      <c r="I72" s="7">
        <f>ROUND(E72*0.2232,2)</f>
        <v>1115.55</v>
      </c>
    </row>
    <row r="73" ht="15.75" customHeight="1">
      <c r="A73" s="4">
        <v>45438.0</v>
      </c>
      <c r="B73" s="5" t="s">
        <v>30</v>
      </c>
      <c r="C73" s="5">
        <v>9.0</v>
      </c>
      <c r="D73" s="6">
        <v>234.0</v>
      </c>
      <c r="E73" s="6">
        <f t="shared" si="1"/>
        <v>2106</v>
      </c>
      <c r="F73" s="5" t="s">
        <v>32</v>
      </c>
      <c r="G73" s="5" t="s">
        <v>15</v>
      </c>
      <c r="H73" s="5" t="s">
        <v>13</v>
      </c>
      <c r="I73" s="7">
        <f>ROUND(E73*0.2452,2)</f>
        <v>516.39</v>
      </c>
    </row>
    <row r="74" ht="15.75" customHeight="1">
      <c r="A74" s="4">
        <v>45488.0</v>
      </c>
      <c r="B74" s="5" t="s">
        <v>30</v>
      </c>
      <c r="C74" s="5">
        <v>7.0</v>
      </c>
      <c r="D74" s="6">
        <v>126.0</v>
      </c>
      <c r="E74" s="6">
        <f t="shared" si="1"/>
        <v>882</v>
      </c>
      <c r="F74" s="5" t="s">
        <v>56</v>
      </c>
      <c r="G74" s="5" t="s">
        <v>73</v>
      </c>
      <c r="H74" s="5" t="s">
        <v>26</v>
      </c>
      <c r="I74" s="7">
        <f>ROUND(E74*0.3398,2)</f>
        <v>299.7</v>
      </c>
    </row>
    <row r="75" ht="15.75" customHeight="1">
      <c r="A75" s="4">
        <v>45323.0</v>
      </c>
      <c r="B75" s="5" t="s">
        <v>30</v>
      </c>
      <c r="C75" s="5">
        <v>14.0</v>
      </c>
      <c r="D75" s="6">
        <v>256.0</v>
      </c>
      <c r="E75" s="6">
        <f t="shared" si="1"/>
        <v>3584</v>
      </c>
      <c r="F75" s="5" t="s">
        <v>34</v>
      </c>
      <c r="G75" s="5" t="s">
        <v>84</v>
      </c>
      <c r="H75" s="5" t="s">
        <v>26</v>
      </c>
      <c r="I75" s="7">
        <f>ROUND(E75*0.2059,2)</f>
        <v>737.95</v>
      </c>
    </row>
    <row r="76" ht="15.75" customHeight="1">
      <c r="A76" s="4">
        <v>45586.0</v>
      </c>
      <c r="B76" s="5" t="s">
        <v>24</v>
      </c>
      <c r="C76" s="5">
        <v>16.0</v>
      </c>
      <c r="D76" s="6">
        <v>102.0</v>
      </c>
      <c r="E76" s="6">
        <f t="shared" si="1"/>
        <v>1632</v>
      </c>
      <c r="F76" s="5" t="s">
        <v>89</v>
      </c>
      <c r="G76" s="5" t="s">
        <v>47</v>
      </c>
      <c r="H76" s="5" t="s">
        <v>18</v>
      </c>
      <c r="I76" s="7">
        <f>ROUND(E76*0.456,2)</f>
        <v>744.19</v>
      </c>
    </row>
    <row r="77" ht="15.75" customHeight="1">
      <c r="A77" s="4">
        <v>45506.0</v>
      </c>
      <c r="B77" s="5" t="s">
        <v>30</v>
      </c>
      <c r="C77" s="5">
        <v>16.0</v>
      </c>
      <c r="D77" s="6">
        <v>188.0</v>
      </c>
      <c r="E77" s="6">
        <f t="shared" si="1"/>
        <v>3008</v>
      </c>
      <c r="F77" s="5" t="s">
        <v>44</v>
      </c>
      <c r="G77" s="5" t="s">
        <v>55</v>
      </c>
      <c r="H77" s="5" t="s">
        <v>13</v>
      </c>
      <c r="I77" s="7">
        <f>ROUND(E77*0.3167,2)</f>
        <v>952.63</v>
      </c>
    </row>
    <row r="78" ht="15.75" customHeight="1">
      <c r="A78" s="4">
        <v>45634.0</v>
      </c>
      <c r="B78" s="5" t="s">
        <v>24</v>
      </c>
      <c r="C78" s="5">
        <v>6.0</v>
      </c>
      <c r="D78" s="6">
        <v>436.0</v>
      </c>
      <c r="E78" s="6">
        <f t="shared" si="1"/>
        <v>2616</v>
      </c>
      <c r="F78" s="5" t="s">
        <v>75</v>
      </c>
      <c r="G78" s="5" t="s">
        <v>90</v>
      </c>
      <c r="H78" s="5" t="s">
        <v>26</v>
      </c>
      <c r="I78" s="7">
        <f>ROUND(E78*0.2081,2)</f>
        <v>544.39</v>
      </c>
    </row>
    <row r="79" ht="15.75" customHeight="1">
      <c r="A79" s="4">
        <v>45493.0</v>
      </c>
      <c r="B79" s="5" t="s">
        <v>10</v>
      </c>
      <c r="C79" s="5">
        <v>3.0</v>
      </c>
      <c r="D79" s="6">
        <v>357.0</v>
      </c>
      <c r="E79" s="6">
        <f t="shared" si="1"/>
        <v>1071</v>
      </c>
      <c r="F79" s="5" t="s">
        <v>75</v>
      </c>
      <c r="G79" s="5" t="s">
        <v>57</v>
      </c>
      <c r="H79" s="5" t="s">
        <v>13</v>
      </c>
      <c r="I79" s="7">
        <f>ROUND(E79*0.2151,2)</f>
        <v>230.37</v>
      </c>
    </row>
    <row r="80" ht="15.75" customHeight="1">
      <c r="A80" s="4">
        <v>45486.0</v>
      </c>
      <c r="B80" s="5" t="s">
        <v>19</v>
      </c>
      <c r="C80" s="5">
        <v>7.0</v>
      </c>
      <c r="D80" s="6">
        <v>282.0</v>
      </c>
      <c r="E80" s="6">
        <f t="shared" si="1"/>
        <v>1974</v>
      </c>
      <c r="F80" s="5" t="s">
        <v>52</v>
      </c>
      <c r="G80" s="5" t="s">
        <v>91</v>
      </c>
      <c r="H80" s="5" t="s">
        <v>18</v>
      </c>
      <c r="I80" s="7">
        <f>ROUND(E80*0.4256,2)</f>
        <v>840.13</v>
      </c>
    </row>
    <row r="81" ht="15.75" customHeight="1">
      <c r="A81" s="4">
        <v>45507.0</v>
      </c>
      <c r="B81" s="5" t="s">
        <v>19</v>
      </c>
      <c r="C81" s="5">
        <v>3.0</v>
      </c>
      <c r="D81" s="6">
        <v>288.0</v>
      </c>
      <c r="E81" s="6">
        <f t="shared" si="1"/>
        <v>864</v>
      </c>
      <c r="F81" s="5" t="s">
        <v>92</v>
      </c>
      <c r="G81" s="5" t="s">
        <v>17</v>
      </c>
      <c r="H81" s="5" t="s">
        <v>13</v>
      </c>
      <c r="I81" s="7">
        <f>ROUND(E81*0.5,2)</f>
        <v>432</v>
      </c>
    </row>
    <row r="82" ht="15.75" customHeight="1">
      <c r="A82" s="4">
        <v>45471.0</v>
      </c>
      <c r="B82" s="5" t="s">
        <v>30</v>
      </c>
      <c r="C82" s="5">
        <v>3.0</v>
      </c>
      <c r="D82" s="6">
        <v>412.0</v>
      </c>
      <c r="E82" s="6">
        <f t="shared" si="1"/>
        <v>1236</v>
      </c>
      <c r="F82" s="5" t="s">
        <v>16</v>
      </c>
      <c r="G82" s="5" t="s">
        <v>28</v>
      </c>
      <c r="H82" s="5" t="s">
        <v>13</v>
      </c>
      <c r="I82" s="7">
        <f>ROUND(E82*0.4849,2)</f>
        <v>599.34</v>
      </c>
    </row>
    <row r="83" ht="15.75" customHeight="1">
      <c r="A83" s="4">
        <v>45394.0</v>
      </c>
      <c r="B83" s="5" t="s">
        <v>10</v>
      </c>
      <c r="C83" s="5">
        <v>20.0</v>
      </c>
      <c r="D83" s="6">
        <v>161.0</v>
      </c>
      <c r="E83" s="6">
        <f t="shared" si="1"/>
        <v>3220</v>
      </c>
      <c r="F83" s="5" t="s">
        <v>75</v>
      </c>
      <c r="G83" s="5" t="s">
        <v>85</v>
      </c>
      <c r="H83" s="5" t="s">
        <v>26</v>
      </c>
      <c r="I83" s="7">
        <f>ROUND(E83*0.2343,2)</f>
        <v>754.45</v>
      </c>
    </row>
    <row r="84" ht="15.75" customHeight="1">
      <c r="A84" s="4">
        <v>45403.0</v>
      </c>
      <c r="B84" s="5" t="s">
        <v>24</v>
      </c>
      <c r="C84" s="5">
        <v>9.0</v>
      </c>
      <c r="D84" s="6">
        <v>407.0</v>
      </c>
      <c r="E84" s="6">
        <f t="shared" si="1"/>
        <v>3663</v>
      </c>
      <c r="F84" s="5" t="s">
        <v>20</v>
      </c>
      <c r="G84" s="5" t="s">
        <v>93</v>
      </c>
      <c r="H84" s="5" t="s">
        <v>26</v>
      </c>
      <c r="I84" s="7">
        <f>ROUND(E84*0.4891,2)</f>
        <v>1791.57</v>
      </c>
    </row>
    <row r="85" ht="15.75" customHeight="1">
      <c r="A85" s="4">
        <v>45350.0</v>
      </c>
      <c r="B85" s="5" t="s">
        <v>30</v>
      </c>
      <c r="C85" s="5">
        <v>10.0</v>
      </c>
      <c r="D85" s="6">
        <v>143.0</v>
      </c>
      <c r="E85" s="6">
        <f t="shared" si="1"/>
        <v>1430</v>
      </c>
      <c r="F85" s="5" t="s">
        <v>14</v>
      </c>
      <c r="G85" s="5" t="s">
        <v>47</v>
      </c>
      <c r="H85" s="5" t="s">
        <v>26</v>
      </c>
      <c r="I85" s="7">
        <f>ROUND(E85*0.4032,2)</f>
        <v>576.58</v>
      </c>
    </row>
    <row r="86" ht="15.75" customHeight="1">
      <c r="A86" s="4">
        <v>45484.0</v>
      </c>
      <c r="B86" s="5" t="s">
        <v>24</v>
      </c>
      <c r="C86" s="5">
        <v>7.0</v>
      </c>
      <c r="D86" s="6">
        <v>130.0</v>
      </c>
      <c r="E86" s="6">
        <f t="shared" si="1"/>
        <v>910</v>
      </c>
      <c r="F86" s="5" t="s">
        <v>79</v>
      </c>
      <c r="G86" s="5" t="s">
        <v>33</v>
      </c>
      <c r="H86" s="5" t="s">
        <v>13</v>
      </c>
      <c r="I86" s="7">
        <f>ROUND(E86*0.4092,2)</f>
        <v>372.37</v>
      </c>
    </row>
    <row r="87" ht="15.75" customHeight="1">
      <c r="A87" s="4">
        <v>45446.0</v>
      </c>
      <c r="B87" s="5" t="s">
        <v>10</v>
      </c>
      <c r="C87" s="5">
        <v>19.0</v>
      </c>
      <c r="D87" s="6">
        <v>413.0</v>
      </c>
      <c r="E87" s="6">
        <f t="shared" si="1"/>
        <v>7847</v>
      </c>
      <c r="F87" s="5" t="s">
        <v>89</v>
      </c>
      <c r="G87" s="5" t="s">
        <v>17</v>
      </c>
      <c r="H87" s="5" t="s">
        <v>18</v>
      </c>
      <c r="I87" s="7">
        <f>ROUND(E87*0.3985,2)</f>
        <v>3127.03</v>
      </c>
    </row>
    <row r="88" ht="15.75" customHeight="1">
      <c r="A88" s="4">
        <v>45327.0</v>
      </c>
      <c r="B88" s="5" t="s">
        <v>19</v>
      </c>
      <c r="C88" s="5">
        <v>1.0</v>
      </c>
      <c r="D88" s="6">
        <v>440.0</v>
      </c>
      <c r="E88" s="6">
        <f t="shared" si="1"/>
        <v>440</v>
      </c>
      <c r="F88" s="5" t="s">
        <v>94</v>
      </c>
      <c r="G88" s="5" t="s">
        <v>59</v>
      </c>
      <c r="H88" s="5" t="s">
        <v>18</v>
      </c>
      <c r="I88" s="7">
        <f>ROUND(E88*0.4882,2)</f>
        <v>214.81</v>
      </c>
    </row>
    <row r="89" ht="15.75" customHeight="1">
      <c r="A89" s="4">
        <v>45617.0</v>
      </c>
      <c r="B89" s="5" t="s">
        <v>24</v>
      </c>
      <c r="C89" s="5">
        <v>5.0</v>
      </c>
      <c r="D89" s="6">
        <v>274.0</v>
      </c>
      <c r="E89" s="6">
        <f t="shared" si="1"/>
        <v>1370</v>
      </c>
      <c r="F89" s="5" t="s">
        <v>58</v>
      </c>
      <c r="G89" s="5" t="s">
        <v>48</v>
      </c>
      <c r="H89" s="5" t="s">
        <v>26</v>
      </c>
      <c r="I89" s="7">
        <f>ROUND(E89*0.281,2)</f>
        <v>384.97</v>
      </c>
    </row>
    <row r="90" ht="15.75" customHeight="1">
      <c r="A90" s="4">
        <v>45567.0</v>
      </c>
      <c r="B90" s="5" t="s">
        <v>24</v>
      </c>
      <c r="C90" s="5">
        <v>15.0</v>
      </c>
      <c r="D90" s="6">
        <v>274.0</v>
      </c>
      <c r="E90" s="6">
        <f t="shared" si="1"/>
        <v>4110</v>
      </c>
      <c r="F90" s="5" t="s">
        <v>58</v>
      </c>
      <c r="G90" s="5" t="s">
        <v>84</v>
      </c>
      <c r="H90" s="5" t="s">
        <v>18</v>
      </c>
      <c r="I90" s="7">
        <f>ROUND(E90*0.2967,2)</f>
        <v>1219.44</v>
      </c>
    </row>
    <row r="91" ht="15.75" customHeight="1">
      <c r="A91" s="4">
        <v>45417.0</v>
      </c>
      <c r="B91" s="5" t="s">
        <v>10</v>
      </c>
      <c r="C91" s="5">
        <v>9.0</v>
      </c>
      <c r="D91" s="6">
        <v>453.0</v>
      </c>
      <c r="E91" s="6">
        <f t="shared" si="1"/>
        <v>4077</v>
      </c>
      <c r="F91" s="5" t="s">
        <v>11</v>
      </c>
      <c r="G91" s="5" t="s">
        <v>57</v>
      </c>
      <c r="H91" s="5" t="s">
        <v>26</v>
      </c>
      <c r="I91" s="7">
        <f>ROUND(E91*0.3831,2)</f>
        <v>1561.9</v>
      </c>
    </row>
    <row r="92" ht="15.75" customHeight="1">
      <c r="A92" s="4">
        <v>45486.0</v>
      </c>
      <c r="B92" s="5" t="s">
        <v>19</v>
      </c>
      <c r="C92" s="5">
        <v>1.0</v>
      </c>
      <c r="D92" s="6">
        <v>298.0</v>
      </c>
      <c r="E92" s="6">
        <f t="shared" si="1"/>
        <v>298</v>
      </c>
      <c r="F92" s="5" t="s">
        <v>95</v>
      </c>
      <c r="G92" s="5" t="s">
        <v>78</v>
      </c>
      <c r="H92" s="5" t="s">
        <v>18</v>
      </c>
      <c r="I92" s="7">
        <f>ROUND(E92*0.2636,2)</f>
        <v>78.55</v>
      </c>
    </row>
    <row r="93" ht="15.75" customHeight="1">
      <c r="A93" s="4">
        <v>45424.0</v>
      </c>
      <c r="B93" s="5" t="s">
        <v>19</v>
      </c>
      <c r="C93" s="5">
        <v>9.0</v>
      </c>
      <c r="D93" s="6">
        <v>452.0</v>
      </c>
      <c r="E93" s="6">
        <f t="shared" si="1"/>
        <v>4068</v>
      </c>
      <c r="F93" s="5" t="s">
        <v>79</v>
      </c>
      <c r="G93" s="5" t="s">
        <v>29</v>
      </c>
      <c r="H93" s="5" t="s">
        <v>26</v>
      </c>
      <c r="I93" s="7">
        <f>ROUND(E93*0.203,2)</f>
        <v>825.8</v>
      </c>
    </row>
    <row r="94" ht="15.75" customHeight="1">
      <c r="A94" s="4">
        <v>45389.0</v>
      </c>
      <c r="B94" s="5" t="s">
        <v>10</v>
      </c>
      <c r="C94" s="5">
        <v>8.0</v>
      </c>
      <c r="D94" s="6">
        <v>388.0</v>
      </c>
      <c r="E94" s="6">
        <f t="shared" si="1"/>
        <v>3104</v>
      </c>
      <c r="F94" s="5" t="s">
        <v>94</v>
      </c>
      <c r="G94" s="5" t="s">
        <v>38</v>
      </c>
      <c r="H94" s="5" t="s">
        <v>13</v>
      </c>
      <c r="I94" s="7">
        <f>ROUND(E94*0.4072,2)</f>
        <v>1263.95</v>
      </c>
    </row>
    <row r="95" ht="15.75" customHeight="1">
      <c r="A95" s="4">
        <v>45622.0</v>
      </c>
      <c r="B95" s="5" t="s">
        <v>24</v>
      </c>
      <c r="C95" s="5">
        <v>15.0</v>
      </c>
      <c r="D95" s="6">
        <v>417.0</v>
      </c>
      <c r="E95" s="6">
        <f t="shared" si="1"/>
        <v>6255</v>
      </c>
      <c r="F95" s="5" t="s">
        <v>96</v>
      </c>
      <c r="G95" s="5" t="s">
        <v>63</v>
      </c>
      <c r="H95" s="5" t="s">
        <v>13</v>
      </c>
      <c r="I95" s="7">
        <f>ROUND(E95*0.3213,2)</f>
        <v>2009.73</v>
      </c>
    </row>
    <row r="96" ht="15.75" customHeight="1">
      <c r="A96" s="4">
        <v>45416.0</v>
      </c>
      <c r="B96" s="5" t="s">
        <v>19</v>
      </c>
      <c r="C96" s="5">
        <v>19.0</v>
      </c>
      <c r="D96" s="6">
        <v>248.0</v>
      </c>
      <c r="E96" s="6">
        <f t="shared" si="1"/>
        <v>4712</v>
      </c>
      <c r="F96" s="5" t="s">
        <v>42</v>
      </c>
      <c r="G96" s="5" t="s">
        <v>48</v>
      </c>
      <c r="H96" s="5" t="s">
        <v>18</v>
      </c>
      <c r="I96" s="7">
        <f>ROUND(E96*0.3277,2)</f>
        <v>1544.12</v>
      </c>
    </row>
    <row r="97" ht="15.75" customHeight="1">
      <c r="A97" s="4">
        <v>45573.0</v>
      </c>
      <c r="B97" s="5" t="s">
        <v>19</v>
      </c>
      <c r="C97" s="5">
        <v>12.0</v>
      </c>
      <c r="D97" s="6">
        <v>381.0</v>
      </c>
      <c r="E97" s="6">
        <f t="shared" si="1"/>
        <v>4572</v>
      </c>
      <c r="F97" s="5" t="s">
        <v>54</v>
      </c>
      <c r="G97" s="5" t="s">
        <v>47</v>
      </c>
      <c r="H97" s="5" t="s">
        <v>18</v>
      </c>
      <c r="I97" s="7">
        <f>ROUND(E97*0.2692,2)</f>
        <v>1230.78</v>
      </c>
    </row>
    <row r="98" ht="15.75" customHeight="1">
      <c r="A98" s="4">
        <v>45390.0</v>
      </c>
      <c r="B98" s="5" t="s">
        <v>19</v>
      </c>
      <c r="C98" s="5">
        <v>4.0</v>
      </c>
      <c r="D98" s="6">
        <v>397.0</v>
      </c>
      <c r="E98" s="6">
        <f t="shared" si="1"/>
        <v>1588</v>
      </c>
      <c r="F98" s="5" t="s">
        <v>68</v>
      </c>
      <c r="G98" s="5" t="s">
        <v>78</v>
      </c>
      <c r="H98" s="5" t="s">
        <v>13</v>
      </c>
      <c r="I98" s="7">
        <f>ROUND(E98*0.2649,2)</f>
        <v>420.66</v>
      </c>
    </row>
    <row r="99" ht="15.75" customHeight="1">
      <c r="A99" s="4">
        <v>45539.0</v>
      </c>
      <c r="B99" s="5" t="s">
        <v>19</v>
      </c>
      <c r="C99" s="5">
        <v>19.0</v>
      </c>
      <c r="D99" s="6">
        <v>491.0</v>
      </c>
      <c r="E99" s="6">
        <f t="shared" si="1"/>
        <v>9329</v>
      </c>
      <c r="F99" s="5" t="s">
        <v>97</v>
      </c>
      <c r="G99" s="5" t="s">
        <v>93</v>
      </c>
      <c r="H99" s="5" t="s">
        <v>18</v>
      </c>
      <c r="I99" s="7">
        <f>ROUND(E99*0.4942,2)</f>
        <v>4610.39</v>
      </c>
    </row>
    <row r="100" ht="15.75" customHeight="1">
      <c r="A100" s="4">
        <v>45391.0</v>
      </c>
      <c r="B100" s="5" t="s">
        <v>19</v>
      </c>
      <c r="C100" s="5">
        <v>8.0</v>
      </c>
      <c r="D100" s="6">
        <v>244.0</v>
      </c>
      <c r="E100" s="6">
        <f t="shared" si="1"/>
        <v>1952</v>
      </c>
      <c r="F100" s="5" t="s">
        <v>49</v>
      </c>
      <c r="G100" s="5" t="s">
        <v>43</v>
      </c>
      <c r="H100" s="5" t="s">
        <v>26</v>
      </c>
      <c r="I100" s="7">
        <f>ROUND(E100*0.3602,2)</f>
        <v>703.11</v>
      </c>
    </row>
    <row r="101" ht="15.75" customHeight="1">
      <c r="A101" s="4">
        <v>45432.0</v>
      </c>
      <c r="B101" s="5" t="s">
        <v>10</v>
      </c>
      <c r="C101" s="5">
        <v>2.0</v>
      </c>
      <c r="D101" s="6">
        <v>321.0</v>
      </c>
      <c r="E101" s="6">
        <f t="shared" si="1"/>
        <v>642</v>
      </c>
      <c r="F101" s="5" t="s">
        <v>79</v>
      </c>
      <c r="G101" s="5" t="s">
        <v>40</v>
      </c>
      <c r="H101" s="5" t="s">
        <v>26</v>
      </c>
      <c r="I101" s="7">
        <f>ROUND(E101*0.4605,2)</f>
        <v>295.64</v>
      </c>
    </row>
    <row r="102" ht="15.75" customHeight="1">
      <c r="A102" s="4">
        <v>45543.0</v>
      </c>
      <c r="B102" s="5" t="s">
        <v>10</v>
      </c>
      <c r="C102" s="5">
        <v>1.0</v>
      </c>
      <c r="D102" s="6">
        <v>330.0</v>
      </c>
      <c r="E102" s="6">
        <f t="shared" si="1"/>
        <v>330</v>
      </c>
      <c r="F102" s="5" t="s">
        <v>64</v>
      </c>
      <c r="G102" s="5" t="s">
        <v>85</v>
      </c>
      <c r="H102" s="5" t="s">
        <v>18</v>
      </c>
      <c r="I102" s="7">
        <f>ROUND(E102*0.3022,2)</f>
        <v>99.73</v>
      </c>
    </row>
    <row r="103" ht="15.75" customHeight="1">
      <c r="A103" s="4">
        <v>45318.0</v>
      </c>
      <c r="B103" s="5" t="s">
        <v>19</v>
      </c>
      <c r="C103" s="5">
        <v>16.0</v>
      </c>
      <c r="D103" s="6">
        <v>146.0</v>
      </c>
      <c r="E103" s="6">
        <f t="shared" si="1"/>
        <v>2336</v>
      </c>
      <c r="F103" s="5" t="s">
        <v>27</v>
      </c>
      <c r="G103" s="5" t="s">
        <v>61</v>
      </c>
      <c r="H103" s="5" t="s">
        <v>18</v>
      </c>
      <c r="I103" s="7">
        <f>ROUND(E103*0.2222,2)</f>
        <v>519.06</v>
      </c>
    </row>
    <row r="104" ht="15.75" customHeight="1">
      <c r="A104" s="4">
        <v>45614.0</v>
      </c>
      <c r="B104" s="5" t="s">
        <v>10</v>
      </c>
      <c r="C104" s="5">
        <v>5.0</v>
      </c>
      <c r="D104" s="6">
        <v>160.0</v>
      </c>
      <c r="E104" s="6">
        <f t="shared" si="1"/>
        <v>800</v>
      </c>
      <c r="F104" s="5" t="s">
        <v>36</v>
      </c>
      <c r="G104" s="5" t="s">
        <v>47</v>
      </c>
      <c r="H104" s="5" t="s">
        <v>13</v>
      </c>
      <c r="I104" s="7">
        <f>ROUND(E104*0.4982,2)</f>
        <v>398.56</v>
      </c>
    </row>
    <row r="105" ht="15.75" customHeight="1">
      <c r="A105" s="4">
        <v>45352.0</v>
      </c>
      <c r="B105" s="5" t="s">
        <v>24</v>
      </c>
      <c r="C105" s="5">
        <v>20.0</v>
      </c>
      <c r="D105" s="6">
        <v>338.0</v>
      </c>
      <c r="E105" s="6">
        <f t="shared" si="1"/>
        <v>6760</v>
      </c>
      <c r="F105" s="5" t="s">
        <v>66</v>
      </c>
      <c r="G105" s="5" t="s">
        <v>12</v>
      </c>
      <c r="H105" s="5" t="s">
        <v>26</v>
      </c>
      <c r="I105" s="7">
        <f>ROUND(E105*0.3141,2)</f>
        <v>2123.32</v>
      </c>
    </row>
    <row r="106" ht="15.75" customHeight="1">
      <c r="A106" s="4">
        <v>45518.0</v>
      </c>
      <c r="B106" s="5" t="s">
        <v>19</v>
      </c>
      <c r="C106" s="5">
        <v>19.0</v>
      </c>
      <c r="D106" s="6">
        <v>496.0</v>
      </c>
      <c r="E106" s="6">
        <f t="shared" si="1"/>
        <v>9424</v>
      </c>
      <c r="F106" s="5" t="s">
        <v>49</v>
      </c>
      <c r="G106" s="5" t="s">
        <v>87</v>
      </c>
      <c r="H106" s="5" t="s">
        <v>26</v>
      </c>
      <c r="I106" s="7">
        <f>ROUND(E106*0.2181,2)</f>
        <v>2055.37</v>
      </c>
    </row>
    <row r="107" ht="15.75" customHeight="1">
      <c r="A107" s="4">
        <v>45342.0</v>
      </c>
      <c r="B107" s="5" t="s">
        <v>30</v>
      </c>
      <c r="C107" s="5">
        <v>7.0</v>
      </c>
      <c r="D107" s="6">
        <v>206.0</v>
      </c>
      <c r="E107" s="6">
        <f t="shared" si="1"/>
        <v>1442</v>
      </c>
      <c r="F107" s="5" t="s">
        <v>96</v>
      </c>
      <c r="G107" s="5" t="s">
        <v>45</v>
      </c>
      <c r="H107" s="5" t="s">
        <v>13</v>
      </c>
      <c r="I107" s="7">
        <f>ROUND(E107*0.2521,2)</f>
        <v>363.53</v>
      </c>
    </row>
    <row r="108" ht="15.75" customHeight="1">
      <c r="A108" s="4">
        <v>45330.0</v>
      </c>
      <c r="B108" s="5" t="s">
        <v>30</v>
      </c>
      <c r="C108" s="5">
        <v>1.0</v>
      </c>
      <c r="D108" s="6">
        <v>263.0</v>
      </c>
      <c r="E108" s="6">
        <f t="shared" si="1"/>
        <v>263</v>
      </c>
      <c r="F108" s="5" t="s">
        <v>79</v>
      </c>
      <c r="G108" s="5" t="s">
        <v>93</v>
      </c>
      <c r="H108" s="5" t="s">
        <v>18</v>
      </c>
      <c r="I108" s="7">
        <f>ROUND(E108*0.2874,2)</f>
        <v>75.59</v>
      </c>
    </row>
    <row r="109" ht="15.75" customHeight="1">
      <c r="A109" s="4">
        <v>45410.0</v>
      </c>
      <c r="B109" s="5" t="s">
        <v>19</v>
      </c>
      <c r="C109" s="5">
        <v>10.0</v>
      </c>
      <c r="D109" s="6">
        <v>381.0</v>
      </c>
      <c r="E109" s="6">
        <f t="shared" si="1"/>
        <v>3810</v>
      </c>
      <c r="F109" s="5" t="s">
        <v>62</v>
      </c>
      <c r="G109" s="5" t="s">
        <v>69</v>
      </c>
      <c r="H109" s="5" t="s">
        <v>26</v>
      </c>
      <c r="I109" s="7">
        <f>ROUND(E109*0.27,2)</f>
        <v>1028.7</v>
      </c>
    </row>
    <row r="110" ht="15.75" customHeight="1">
      <c r="A110" s="4">
        <v>45427.0</v>
      </c>
      <c r="B110" s="5" t="s">
        <v>30</v>
      </c>
      <c r="C110" s="5">
        <v>14.0</v>
      </c>
      <c r="D110" s="6">
        <v>146.0</v>
      </c>
      <c r="E110" s="6">
        <f t="shared" si="1"/>
        <v>2044</v>
      </c>
      <c r="F110" s="5" t="s">
        <v>39</v>
      </c>
      <c r="G110" s="5" t="s">
        <v>76</v>
      </c>
      <c r="H110" s="5" t="s">
        <v>18</v>
      </c>
      <c r="I110" s="7">
        <f>ROUND(E110*0.448,2)</f>
        <v>915.71</v>
      </c>
    </row>
    <row r="111" ht="15.75" customHeight="1">
      <c r="A111" s="4">
        <v>45328.0</v>
      </c>
      <c r="B111" s="5" t="s">
        <v>10</v>
      </c>
      <c r="C111" s="5">
        <v>6.0</v>
      </c>
      <c r="D111" s="6">
        <v>417.0</v>
      </c>
      <c r="E111" s="6">
        <f t="shared" si="1"/>
        <v>2502</v>
      </c>
      <c r="F111" s="5" t="s">
        <v>50</v>
      </c>
      <c r="G111" s="5" t="s">
        <v>87</v>
      </c>
      <c r="H111" s="5" t="s">
        <v>18</v>
      </c>
      <c r="I111" s="7">
        <f>ROUND(E111*0.3317,2)</f>
        <v>829.91</v>
      </c>
    </row>
    <row r="112" ht="15.75" customHeight="1">
      <c r="A112" s="4">
        <v>45531.0</v>
      </c>
      <c r="B112" s="5" t="s">
        <v>19</v>
      </c>
      <c r="C112" s="5">
        <v>13.0</v>
      </c>
      <c r="D112" s="6">
        <v>477.0</v>
      </c>
      <c r="E112" s="6">
        <f t="shared" si="1"/>
        <v>6201</v>
      </c>
      <c r="F112" s="5" t="s">
        <v>70</v>
      </c>
      <c r="G112" s="5" t="s">
        <v>17</v>
      </c>
      <c r="H112" s="5" t="s">
        <v>18</v>
      </c>
      <c r="I112" s="7">
        <f>ROUND(E112*0.3313,2)</f>
        <v>2054.39</v>
      </c>
    </row>
    <row r="113" ht="15.75" customHeight="1">
      <c r="A113" s="4">
        <v>45598.0</v>
      </c>
      <c r="B113" s="5" t="s">
        <v>10</v>
      </c>
      <c r="C113" s="5">
        <v>14.0</v>
      </c>
      <c r="D113" s="6">
        <v>394.0</v>
      </c>
      <c r="E113" s="6">
        <f t="shared" si="1"/>
        <v>5516</v>
      </c>
      <c r="F113" s="5" t="s">
        <v>50</v>
      </c>
      <c r="G113" s="5" t="s">
        <v>71</v>
      </c>
      <c r="H113" s="5" t="s">
        <v>13</v>
      </c>
      <c r="I113" s="7">
        <f>ROUND(E113*0.2274,2)</f>
        <v>1254.34</v>
      </c>
    </row>
    <row r="114" ht="15.75" customHeight="1">
      <c r="A114" s="4">
        <v>45637.0</v>
      </c>
      <c r="B114" s="5" t="s">
        <v>10</v>
      </c>
      <c r="C114" s="5">
        <v>9.0</v>
      </c>
      <c r="D114" s="6">
        <v>330.0</v>
      </c>
      <c r="E114" s="6">
        <f t="shared" si="1"/>
        <v>2970</v>
      </c>
      <c r="F114" s="5" t="s">
        <v>68</v>
      </c>
      <c r="G114" s="5" t="s">
        <v>78</v>
      </c>
      <c r="H114" s="5" t="s">
        <v>18</v>
      </c>
      <c r="I114" s="7">
        <f>ROUND(E114*0.3557,2)</f>
        <v>1056.43</v>
      </c>
    </row>
    <row r="115" ht="15.75" customHeight="1">
      <c r="A115" s="4">
        <v>45518.0</v>
      </c>
      <c r="B115" s="5" t="s">
        <v>19</v>
      </c>
      <c r="C115" s="5">
        <v>6.0</v>
      </c>
      <c r="D115" s="6">
        <v>499.0</v>
      </c>
      <c r="E115" s="6">
        <f t="shared" si="1"/>
        <v>2994</v>
      </c>
      <c r="F115" s="5" t="s">
        <v>44</v>
      </c>
      <c r="G115" s="5" t="s">
        <v>55</v>
      </c>
      <c r="H115" s="5" t="s">
        <v>13</v>
      </c>
      <c r="I115" s="7">
        <f>ROUND(E115*0.341,2)</f>
        <v>1020.95</v>
      </c>
    </row>
    <row r="116" ht="15.75" customHeight="1">
      <c r="A116" s="4">
        <v>45501.0</v>
      </c>
      <c r="B116" s="5" t="s">
        <v>19</v>
      </c>
      <c r="C116" s="5">
        <v>11.0</v>
      </c>
      <c r="D116" s="6">
        <v>368.0</v>
      </c>
      <c r="E116" s="6">
        <f t="shared" si="1"/>
        <v>4048</v>
      </c>
      <c r="F116" s="5" t="s">
        <v>20</v>
      </c>
      <c r="G116" s="5" t="s">
        <v>73</v>
      </c>
      <c r="H116" s="5" t="s">
        <v>18</v>
      </c>
      <c r="I116" s="7">
        <f>ROUND(E116*0.4081,2)</f>
        <v>1651.99</v>
      </c>
    </row>
    <row r="117" ht="15.75" customHeight="1">
      <c r="A117" s="4">
        <v>45439.0</v>
      </c>
      <c r="B117" s="5" t="s">
        <v>24</v>
      </c>
      <c r="C117" s="5">
        <v>18.0</v>
      </c>
      <c r="D117" s="6">
        <v>115.0</v>
      </c>
      <c r="E117" s="6">
        <f t="shared" si="1"/>
        <v>2070</v>
      </c>
      <c r="F117" s="5" t="s">
        <v>96</v>
      </c>
      <c r="G117" s="5" t="s">
        <v>37</v>
      </c>
      <c r="H117" s="5" t="s">
        <v>18</v>
      </c>
      <c r="I117" s="7">
        <f>ROUND(E117*0.297,2)</f>
        <v>614.79</v>
      </c>
    </row>
    <row r="118" ht="15.75" customHeight="1">
      <c r="A118" s="4">
        <v>45498.0</v>
      </c>
      <c r="B118" s="5" t="s">
        <v>10</v>
      </c>
      <c r="C118" s="5">
        <v>18.0</v>
      </c>
      <c r="D118" s="6">
        <v>285.0</v>
      </c>
      <c r="E118" s="6">
        <f t="shared" si="1"/>
        <v>5130</v>
      </c>
      <c r="F118" s="5" t="s">
        <v>74</v>
      </c>
      <c r="G118" s="5" t="s">
        <v>57</v>
      </c>
      <c r="H118" s="5" t="s">
        <v>26</v>
      </c>
      <c r="I118" s="7">
        <f>ROUND(E118*0.3085,2)</f>
        <v>1582.61</v>
      </c>
    </row>
    <row r="119" ht="15.75" customHeight="1">
      <c r="A119" s="4">
        <v>45547.0</v>
      </c>
      <c r="B119" s="5" t="s">
        <v>24</v>
      </c>
      <c r="C119" s="5">
        <v>2.0</v>
      </c>
      <c r="D119" s="6">
        <v>181.0</v>
      </c>
      <c r="E119" s="6">
        <f t="shared" si="1"/>
        <v>362</v>
      </c>
      <c r="F119" s="5" t="s">
        <v>42</v>
      </c>
      <c r="G119" s="5" t="s">
        <v>40</v>
      </c>
      <c r="H119" s="5" t="s">
        <v>18</v>
      </c>
      <c r="I119" s="7">
        <f>ROUND(E119*0.3314,2)</f>
        <v>119.97</v>
      </c>
    </row>
    <row r="120" ht="15.75" customHeight="1">
      <c r="A120" s="4">
        <v>45649.0</v>
      </c>
      <c r="B120" s="5" t="s">
        <v>24</v>
      </c>
      <c r="C120" s="5">
        <v>4.0</v>
      </c>
      <c r="D120" s="6">
        <v>112.0</v>
      </c>
      <c r="E120" s="6">
        <f t="shared" si="1"/>
        <v>448</v>
      </c>
      <c r="F120" s="5" t="s">
        <v>46</v>
      </c>
      <c r="G120" s="5" t="s">
        <v>93</v>
      </c>
      <c r="H120" s="5" t="s">
        <v>13</v>
      </c>
      <c r="I120" s="7">
        <f>ROUND(E120*0.4129,2)</f>
        <v>184.98</v>
      </c>
    </row>
    <row r="121" ht="15.75" customHeight="1">
      <c r="A121" s="4">
        <v>45451.0</v>
      </c>
      <c r="B121" s="5" t="s">
        <v>10</v>
      </c>
      <c r="C121" s="5">
        <v>18.0</v>
      </c>
      <c r="D121" s="6">
        <v>263.0</v>
      </c>
      <c r="E121" s="6">
        <f t="shared" si="1"/>
        <v>4734</v>
      </c>
      <c r="F121" s="5" t="s">
        <v>39</v>
      </c>
      <c r="G121" s="5" t="s">
        <v>82</v>
      </c>
      <c r="H121" s="5" t="s">
        <v>18</v>
      </c>
      <c r="I121" s="7">
        <f>ROUND(E121*0.4841,2)</f>
        <v>2291.73</v>
      </c>
    </row>
    <row r="122" ht="15.75" customHeight="1">
      <c r="A122" s="4">
        <v>45623.0</v>
      </c>
      <c r="B122" s="5" t="s">
        <v>30</v>
      </c>
      <c r="C122" s="5">
        <v>16.0</v>
      </c>
      <c r="D122" s="6">
        <v>473.0</v>
      </c>
      <c r="E122" s="6">
        <f t="shared" si="1"/>
        <v>7568</v>
      </c>
      <c r="F122" s="5" t="s">
        <v>98</v>
      </c>
      <c r="G122" s="5" t="s">
        <v>65</v>
      </c>
      <c r="H122" s="5" t="s">
        <v>26</v>
      </c>
      <c r="I122" s="7">
        <f>ROUND(E122*0.282,2)</f>
        <v>2134.18</v>
      </c>
    </row>
    <row r="123" ht="15.75" customHeight="1">
      <c r="A123" s="4">
        <v>45539.0</v>
      </c>
      <c r="B123" s="5" t="s">
        <v>24</v>
      </c>
      <c r="C123" s="5">
        <v>8.0</v>
      </c>
      <c r="D123" s="6">
        <v>283.0</v>
      </c>
      <c r="E123" s="6">
        <f t="shared" si="1"/>
        <v>2264</v>
      </c>
      <c r="F123" s="5" t="s">
        <v>86</v>
      </c>
      <c r="G123" s="5" t="s">
        <v>91</v>
      </c>
      <c r="H123" s="5" t="s">
        <v>13</v>
      </c>
      <c r="I123" s="7">
        <f>ROUND(E123*0.4766,2)</f>
        <v>1079.02</v>
      </c>
    </row>
    <row r="124" ht="15.75" customHeight="1">
      <c r="A124" s="4">
        <v>45552.0</v>
      </c>
      <c r="B124" s="5" t="s">
        <v>30</v>
      </c>
      <c r="C124" s="5">
        <v>3.0</v>
      </c>
      <c r="D124" s="6">
        <v>210.0</v>
      </c>
      <c r="E124" s="6">
        <f t="shared" si="1"/>
        <v>630</v>
      </c>
      <c r="F124" s="5" t="s">
        <v>56</v>
      </c>
      <c r="G124" s="5" t="s">
        <v>73</v>
      </c>
      <c r="H124" s="5" t="s">
        <v>26</v>
      </c>
      <c r="I124" s="7">
        <f>ROUND(E124*0.2802,2)</f>
        <v>176.53</v>
      </c>
    </row>
    <row r="125" ht="15.75" customHeight="1">
      <c r="A125" s="4">
        <v>45293.0</v>
      </c>
      <c r="B125" s="5" t="s">
        <v>19</v>
      </c>
      <c r="C125" s="5">
        <v>10.0</v>
      </c>
      <c r="D125" s="6">
        <v>435.0</v>
      </c>
      <c r="E125" s="6">
        <f t="shared" si="1"/>
        <v>4350</v>
      </c>
      <c r="F125" s="5" t="s">
        <v>99</v>
      </c>
      <c r="G125" s="5" t="s">
        <v>55</v>
      </c>
      <c r="H125" s="5" t="s">
        <v>13</v>
      </c>
      <c r="I125" s="7">
        <f>ROUND(E125*0.334,2)</f>
        <v>1452.9</v>
      </c>
    </row>
    <row r="126" ht="15.75" customHeight="1">
      <c r="A126" s="4">
        <v>45539.0</v>
      </c>
      <c r="B126" s="5" t="s">
        <v>19</v>
      </c>
      <c r="C126" s="5">
        <v>11.0</v>
      </c>
      <c r="D126" s="6">
        <v>321.0</v>
      </c>
      <c r="E126" s="6">
        <f t="shared" si="1"/>
        <v>3531</v>
      </c>
      <c r="F126" s="5" t="s">
        <v>32</v>
      </c>
      <c r="G126" s="5" t="s">
        <v>91</v>
      </c>
      <c r="H126" s="5" t="s">
        <v>18</v>
      </c>
      <c r="I126" s="7">
        <f>ROUND(E126*0.4799,2)</f>
        <v>1694.53</v>
      </c>
    </row>
    <row r="127" ht="15.75" customHeight="1">
      <c r="A127" s="4">
        <v>45388.0</v>
      </c>
      <c r="B127" s="5" t="s">
        <v>30</v>
      </c>
      <c r="C127" s="5">
        <v>19.0</v>
      </c>
      <c r="D127" s="6">
        <v>253.0</v>
      </c>
      <c r="E127" s="6">
        <f t="shared" si="1"/>
        <v>4807</v>
      </c>
      <c r="F127" s="5" t="s">
        <v>34</v>
      </c>
      <c r="G127" s="5" t="s">
        <v>77</v>
      </c>
      <c r="H127" s="5" t="s">
        <v>13</v>
      </c>
      <c r="I127" s="7">
        <f>ROUND(E127*0.2955,2)</f>
        <v>1420.47</v>
      </c>
    </row>
    <row r="128" ht="15.75" customHeight="1">
      <c r="A128" s="4">
        <v>45534.0</v>
      </c>
      <c r="B128" s="5" t="s">
        <v>24</v>
      </c>
      <c r="C128" s="5">
        <v>13.0</v>
      </c>
      <c r="D128" s="6">
        <v>495.0</v>
      </c>
      <c r="E128" s="6">
        <f t="shared" si="1"/>
        <v>6435</v>
      </c>
      <c r="F128" s="5" t="s">
        <v>16</v>
      </c>
      <c r="G128" s="5" t="s">
        <v>76</v>
      </c>
      <c r="H128" s="5" t="s">
        <v>18</v>
      </c>
      <c r="I128" s="7">
        <f>ROUND(E128*0.4894,2)</f>
        <v>3149.29</v>
      </c>
    </row>
    <row r="129" ht="15.75" customHeight="1">
      <c r="A129" s="4">
        <v>45356.0</v>
      </c>
      <c r="B129" s="5" t="s">
        <v>19</v>
      </c>
      <c r="C129" s="5">
        <v>4.0</v>
      </c>
      <c r="D129" s="6">
        <v>450.0</v>
      </c>
      <c r="E129" s="6">
        <f t="shared" si="1"/>
        <v>1800</v>
      </c>
      <c r="F129" s="5" t="s">
        <v>72</v>
      </c>
      <c r="G129" s="5" t="s">
        <v>59</v>
      </c>
      <c r="H129" s="5" t="s">
        <v>26</v>
      </c>
      <c r="I129" s="7">
        <f>ROUND(E129*0.4731,2)</f>
        <v>851.58</v>
      </c>
    </row>
    <row r="130" ht="15.75" customHeight="1">
      <c r="A130" s="4">
        <v>45299.0</v>
      </c>
      <c r="B130" s="5" t="s">
        <v>30</v>
      </c>
      <c r="C130" s="5">
        <v>14.0</v>
      </c>
      <c r="D130" s="6">
        <v>448.0</v>
      </c>
      <c r="E130" s="6">
        <f t="shared" si="1"/>
        <v>6272</v>
      </c>
      <c r="F130" s="5" t="s">
        <v>86</v>
      </c>
      <c r="G130" s="5" t="s">
        <v>69</v>
      </c>
      <c r="H130" s="5" t="s">
        <v>18</v>
      </c>
      <c r="I130" s="7">
        <f>ROUND(E130*0.4345,2)</f>
        <v>2725.18</v>
      </c>
    </row>
    <row r="131" ht="15.75" customHeight="1">
      <c r="A131" s="4">
        <v>45427.0</v>
      </c>
      <c r="B131" s="5" t="s">
        <v>19</v>
      </c>
      <c r="C131" s="5">
        <v>20.0</v>
      </c>
      <c r="D131" s="6">
        <v>377.0</v>
      </c>
      <c r="E131" s="6">
        <f t="shared" si="1"/>
        <v>7540</v>
      </c>
      <c r="F131" s="5" t="s">
        <v>16</v>
      </c>
      <c r="G131" s="5" t="s">
        <v>15</v>
      </c>
      <c r="H131" s="5" t="s">
        <v>18</v>
      </c>
      <c r="I131" s="7">
        <f>ROUND(E131*0.4557,2)</f>
        <v>3435.98</v>
      </c>
    </row>
    <row r="132" ht="15.75" customHeight="1">
      <c r="A132" s="4">
        <v>45565.0</v>
      </c>
      <c r="B132" s="5" t="s">
        <v>24</v>
      </c>
      <c r="C132" s="5">
        <v>11.0</v>
      </c>
      <c r="D132" s="6">
        <v>351.0</v>
      </c>
      <c r="E132" s="6">
        <f t="shared" si="1"/>
        <v>3861</v>
      </c>
      <c r="F132" s="5" t="s">
        <v>68</v>
      </c>
      <c r="G132" s="5" t="s">
        <v>55</v>
      </c>
      <c r="H132" s="5" t="s">
        <v>26</v>
      </c>
      <c r="I132" s="7">
        <f>ROUND(E132*0.2108,2)</f>
        <v>813.9</v>
      </c>
    </row>
    <row r="133" ht="15.75" customHeight="1">
      <c r="A133" s="4">
        <v>45327.0</v>
      </c>
      <c r="B133" s="5" t="s">
        <v>30</v>
      </c>
      <c r="C133" s="5">
        <v>10.0</v>
      </c>
      <c r="D133" s="6">
        <v>499.0</v>
      </c>
      <c r="E133" s="6">
        <f t="shared" si="1"/>
        <v>4990</v>
      </c>
      <c r="F133" s="5" t="s">
        <v>92</v>
      </c>
      <c r="G133" s="5" t="s">
        <v>15</v>
      </c>
      <c r="H133" s="5" t="s">
        <v>18</v>
      </c>
      <c r="I133" s="7">
        <f>ROUND(E133*0.4935,2)</f>
        <v>2462.57</v>
      </c>
    </row>
    <row r="134" ht="15.75" customHeight="1">
      <c r="A134" s="4">
        <v>45616.0</v>
      </c>
      <c r="B134" s="5" t="s">
        <v>10</v>
      </c>
      <c r="C134" s="5">
        <v>15.0</v>
      </c>
      <c r="D134" s="6">
        <v>167.0</v>
      </c>
      <c r="E134" s="6">
        <f t="shared" si="1"/>
        <v>2505</v>
      </c>
      <c r="F134" s="5" t="s">
        <v>49</v>
      </c>
      <c r="G134" s="5" t="s">
        <v>53</v>
      </c>
      <c r="H134" s="5" t="s">
        <v>13</v>
      </c>
      <c r="I134" s="7">
        <f>ROUND(E134*0.2973,2)</f>
        <v>744.74</v>
      </c>
    </row>
    <row r="135" ht="15.75" customHeight="1">
      <c r="A135" s="4">
        <v>45320.0</v>
      </c>
      <c r="B135" s="5" t="s">
        <v>19</v>
      </c>
      <c r="C135" s="5">
        <v>12.0</v>
      </c>
      <c r="D135" s="6">
        <v>250.0</v>
      </c>
      <c r="E135" s="6">
        <f t="shared" si="1"/>
        <v>3000</v>
      </c>
      <c r="F135" s="5" t="s">
        <v>86</v>
      </c>
      <c r="G135" s="5" t="s">
        <v>33</v>
      </c>
      <c r="H135" s="5" t="s">
        <v>26</v>
      </c>
      <c r="I135" s="7">
        <f>ROUND(E135*0.3236,2)</f>
        <v>970.8</v>
      </c>
    </row>
    <row r="136" ht="15.75" customHeight="1">
      <c r="A136" s="4">
        <v>45641.0</v>
      </c>
      <c r="B136" s="5" t="s">
        <v>30</v>
      </c>
      <c r="C136" s="5">
        <v>6.0</v>
      </c>
      <c r="D136" s="6">
        <v>170.0</v>
      </c>
      <c r="E136" s="6">
        <f t="shared" si="1"/>
        <v>1020</v>
      </c>
      <c r="F136" s="5" t="s">
        <v>66</v>
      </c>
      <c r="G136" s="5" t="s">
        <v>91</v>
      </c>
      <c r="H136" s="5" t="s">
        <v>26</v>
      </c>
      <c r="I136" s="7">
        <f>ROUND(E136*0.4049,2)</f>
        <v>413</v>
      </c>
    </row>
    <row r="137" ht="15.75" customHeight="1">
      <c r="A137" s="4">
        <v>45546.0</v>
      </c>
      <c r="B137" s="5" t="s">
        <v>30</v>
      </c>
      <c r="C137" s="5">
        <v>8.0</v>
      </c>
      <c r="D137" s="6">
        <v>284.0</v>
      </c>
      <c r="E137" s="6">
        <f t="shared" si="1"/>
        <v>2272</v>
      </c>
      <c r="F137" s="5" t="s">
        <v>81</v>
      </c>
      <c r="G137" s="5" t="s">
        <v>57</v>
      </c>
      <c r="H137" s="5" t="s">
        <v>18</v>
      </c>
      <c r="I137" s="7">
        <f>ROUND(E137*0.4001,2)</f>
        <v>909.03</v>
      </c>
    </row>
    <row r="138" ht="15.75" customHeight="1">
      <c r="A138" s="4">
        <v>45530.0</v>
      </c>
      <c r="B138" s="5" t="s">
        <v>19</v>
      </c>
      <c r="C138" s="5">
        <v>18.0</v>
      </c>
      <c r="D138" s="6">
        <v>163.0</v>
      </c>
      <c r="E138" s="6">
        <f t="shared" si="1"/>
        <v>2934</v>
      </c>
      <c r="F138" s="5" t="s">
        <v>72</v>
      </c>
      <c r="G138" s="5" t="s">
        <v>23</v>
      </c>
      <c r="H138" s="5" t="s">
        <v>26</v>
      </c>
      <c r="I138" s="7">
        <f>ROUND(E138*0.2897,2)</f>
        <v>849.98</v>
      </c>
    </row>
    <row r="139" ht="15.75" customHeight="1">
      <c r="A139" s="4">
        <v>45509.0</v>
      </c>
      <c r="B139" s="5" t="s">
        <v>19</v>
      </c>
      <c r="C139" s="5">
        <v>15.0</v>
      </c>
      <c r="D139" s="6">
        <v>438.0</v>
      </c>
      <c r="E139" s="6">
        <f t="shared" si="1"/>
        <v>6570</v>
      </c>
      <c r="F139" s="5" t="s">
        <v>100</v>
      </c>
      <c r="G139" s="5" t="s">
        <v>91</v>
      </c>
      <c r="H139" s="5" t="s">
        <v>18</v>
      </c>
      <c r="I139" s="7">
        <f>ROUND(E139*0.232,2)</f>
        <v>1524.24</v>
      </c>
    </row>
    <row r="140" ht="15.75" customHeight="1">
      <c r="A140" s="4">
        <v>45487.0</v>
      </c>
      <c r="B140" s="5" t="s">
        <v>19</v>
      </c>
      <c r="C140" s="5">
        <v>19.0</v>
      </c>
      <c r="D140" s="6">
        <v>218.0</v>
      </c>
      <c r="E140" s="6">
        <f t="shared" si="1"/>
        <v>4142</v>
      </c>
      <c r="F140" s="5" t="s">
        <v>79</v>
      </c>
      <c r="G140" s="5" t="s">
        <v>63</v>
      </c>
      <c r="H140" s="5" t="s">
        <v>13</v>
      </c>
      <c r="I140" s="7">
        <f>ROUND(E140*0.4934,2)</f>
        <v>2043.66</v>
      </c>
    </row>
    <row r="141" ht="15.75" customHeight="1">
      <c r="A141" s="4">
        <v>45629.0</v>
      </c>
      <c r="B141" s="5" t="s">
        <v>24</v>
      </c>
      <c r="C141" s="5">
        <v>9.0</v>
      </c>
      <c r="D141" s="6">
        <v>103.0</v>
      </c>
      <c r="E141" s="6">
        <f t="shared" si="1"/>
        <v>927</v>
      </c>
      <c r="F141" s="5" t="s">
        <v>41</v>
      </c>
      <c r="G141" s="5" t="s">
        <v>35</v>
      </c>
      <c r="H141" s="5" t="s">
        <v>26</v>
      </c>
      <c r="I141" s="7">
        <f>ROUND(E141*0.4236,2)</f>
        <v>392.68</v>
      </c>
    </row>
    <row r="142" ht="15.75" customHeight="1">
      <c r="A142" s="4">
        <v>45438.0</v>
      </c>
      <c r="B142" s="5" t="s">
        <v>30</v>
      </c>
      <c r="C142" s="5">
        <v>20.0</v>
      </c>
      <c r="D142" s="6">
        <v>421.0</v>
      </c>
      <c r="E142" s="6">
        <f t="shared" si="1"/>
        <v>8420</v>
      </c>
      <c r="F142" s="5" t="s">
        <v>39</v>
      </c>
      <c r="G142" s="5" t="s">
        <v>57</v>
      </c>
      <c r="H142" s="5" t="s">
        <v>26</v>
      </c>
      <c r="I142" s="7">
        <f>ROUND(E142*0.2752,2)</f>
        <v>2317.18</v>
      </c>
    </row>
    <row r="143" ht="15.75" customHeight="1">
      <c r="A143" s="4">
        <v>45629.0</v>
      </c>
      <c r="B143" s="5" t="s">
        <v>30</v>
      </c>
      <c r="C143" s="5">
        <v>4.0</v>
      </c>
      <c r="D143" s="6">
        <v>461.0</v>
      </c>
      <c r="E143" s="6">
        <f t="shared" si="1"/>
        <v>1844</v>
      </c>
      <c r="F143" s="5" t="s">
        <v>16</v>
      </c>
      <c r="G143" s="5" t="s">
        <v>28</v>
      </c>
      <c r="H143" s="5" t="s">
        <v>18</v>
      </c>
      <c r="I143" s="7">
        <f>ROUND(E143*0.4366,2)</f>
        <v>805.09</v>
      </c>
    </row>
    <row r="144" ht="15.75" customHeight="1">
      <c r="A144" s="4">
        <v>45309.0</v>
      </c>
      <c r="B144" s="5" t="s">
        <v>19</v>
      </c>
      <c r="C144" s="5">
        <v>5.0</v>
      </c>
      <c r="D144" s="6">
        <v>136.0</v>
      </c>
      <c r="E144" s="6">
        <f t="shared" si="1"/>
        <v>680</v>
      </c>
      <c r="F144" s="5" t="s">
        <v>98</v>
      </c>
      <c r="G144" s="5" t="s">
        <v>37</v>
      </c>
      <c r="H144" s="5" t="s">
        <v>26</v>
      </c>
      <c r="I144" s="7">
        <f>ROUND(E144*0.3247,2)</f>
        <v>220.8</v>
      </c>
    </row>
    <row r="145" ht="15.75" customHeight="1">
      <c r="A145" s="4">
        <v>45394.0</v>
      </c>
      <c r="B145" s="5" t="s">
        <v>30</v>
      </c>
      <c r="C145" s="5">
        <v>18.0</v>
      </c>
      <c r="D145" s="6">
        <v>451.0</v>
      </c>
      <c r="E145" s="6">
        <f t="shared" si="1"/>
        <v>8118</v>
      </c>
      <c r="F145" s="5" t="s">
        <v>101</v>
      </c>
      <c r="G145" s="5" t="s">
        <v>48</v>
      </c>
      <c r="H145" s="5" t="s">
        <v>26</v>
      </c>
      <c r="I145" s="7">
        <f>ROUND(E145*0.474,2)</f>
        <v>3847.93</v>
      </c>
    </row>
    <row r="146" ht="15.75" customHeight="1">
      <c r="A146" s="4">
        <v>45376.0</v>
      </c>
      <c r="B146" s="5" t="s">
        <v>19</v>
      </c>
      <c r="C146" s="5">
        <v>16.0</v>
      </c>
      <c r="D146" s="6">
        <v>487.0</v>
      </c>
      <c r="E146" s="6">
        <f t="shared" si="1"/>
        <v>7792</v>
      </c>
      <c r="F146" s="5" t="s">
        <v>98</v>
      </c>
      <c r="G146" s="5" t="s">
        <v>73</v>
      </c>
      <c r="H146" s="5" t="s">
        <v>13</v>
      </c>
      <c r="I146" s="7">
        <f>ROUND(E146*0.3405,2)</f>
        <v>2653.18</v>
      </c>
    </row>
    <row r="147" ht="15.75" customHeight="1">
      <c r="A147" s="4">
        <v>45330.0</v>
      </c>
      <c r="B147" s="5" t="s">
        <v>30</v>
      </c>
      <c r="C147" s="5">
        <v>8.0</v>
      </c>
      <c r="D147" s="6">
        <v>444.0</v>
      </c>
      <c r="E147" s="6">
        <f t="shared" si="1"/>
        <v>3552</v>
      </c>
      <c r="F147" s="5" t="s">
        <v>58</v>
      </c>
      <c r="G147" s="5" t="s">
        <v>61</v>
      </c>
      <c r="H147" s="5" t="s">
        <v>26</v>
      </c>
      <c r="I147" s="7">
        <f>ROUND(E147*0.3097,2)</f>
        <v>1100.05</v>
      </c>
    </row>
    <row r="148" ht="15.75" customHeight="1">
      <c r="A148" s="4">
        <v>45494.0</v>
      </c>
      <c r="B148" s="5" t="s">
        <v>10</v>
      </c>
      <c r="C148" s="5">
        <v>9.0</v>
      </c>
      <c r="D148" s="6">
        <v>315.0</v>
      </c>
      <c r="E148" s="6">
        <f t="shared" si="1"/>
        <v>2835</v>
      </c>
      <c r="F148" s="5" t="s">
        <v>62</v>
      </c>
      <c r="G148" s="5" t="s">
        <v>51</v>
      </c>
      <c r="H148" s="5" t="s">
        <v>26</v>
      </c>
      <c r="I148" s="7">
        <f>ROUND(E148*0.4247,2)</f>
        <v>1204.02</v>
      </c>
    </row>
    <row r="149" ht="15.75" customHeight="1">
      <c r="A149" s="4">
        <v>45426.0</v>
      </c>
      <c r="B149" s="5" t="s">
        <v>24</v>
      </c>
      <c r="C149" s="5">
        <v>12.0</v>
      </c>
      <c r="D149" s="6">
        <v>143.0</v>
      </c>
      <c r="E149" s="6">
        <f t="shared" si="1"/>
        <v>1716</v>
      </c>
      <c r="F149" s="5" t="s">
        <v>39</v>
      </c>
      <c r="G149" s="5" t="s">
        <v>85</v>
      </c>
      <c r="H149" s="5" t="s">
        <v>13</v>
      </c>
      <c r="I149" s="7">
        <f>ROUND(E149*0.3859,2)</f>
        <v>662.2</v>
      </c>
    </row>
    <row r="150" ht="15.75" customHeight="1">
      <c r="A150" s="4">
        <v>45579.0</v>
      </c>
      <c r="B150" s="5" t="s">
        <v>19</v>
      </c>
      <c r="C150" s="5">
        <v>20.0</v>
      </c>
      <c r="D150" s="6">
        <v>189.0</v>
      </c>
      <c r="E150" s="6">
        <f t="shared" si="1"/>
        <v>3780</v>
      </c>
      <c r="F150" s="5" t="s">
        <v>27</v>
      </c>
      <c r="G150" s="5" t="s">
        <v>57</v>
      </c>
      <c r="H150" s="5" t="s">
        <v>26</v>
      </c>
      <c r="I150" s="7">
        <f>ROUND(E150*0.2907,2)</f>
        <v>1098.85</v>
      </c>
    </row>
    <row r="151" ht="15.75" customHeight="1">
      <c r="A151" s="4">
        <v>45501.0</v>
      </c>
      <c r="B151" s="5" t="s">
        <v>10</v>
      </c>
      <c r="C151" s="5">
        <v>5.0</v>
      </c>
      <c r="D151" s="6">
        <v>118.0</v>
      </c>
      <c r="E151" s="6">
        <f t="shared" si="1"/>
        <v>590</v>
      </c>
      <c r="F151" s="5" t="s">
        <v>102</v>
      </c>
      <c r="G151" s="5" t="s">
        <v>47</v>
      </c>
      <c r="H151" s="5" t="s">
        <v>18</v>
      </c>
      <c r="I151" s="7">
        <f>ROUND(E151*0.2348,2)</f>
        <v>138.53</v>
      </c>
    </row>
    <row r="152" ht="15.75" customHeight="1">
      <c r="A152" s="4">
        <v>45412.0</v>
      </c>
      <c r="B152" s="5" t="s">
        <v>30</v>
      </c>
      <c r="C152" s="5">
        <v>13.0</v>
      </c>
      <c r="D152" s="6">
        <v>281.0</v>
      </c>
      <c r="E152" s="6">
        <f t="shared" si="1"/>
        <v>3653</v>
      </c>
      <c r="F152" s="5" t="s">
        <v>31</v>
      </c>
      <c r="G152" s="5" t="s">
        <v>17</v>
      </c>
      <c r="H152" s="5" t="s">
        <v>18</v>
      </c>
      <c r="I152" s="7">
        <f>ROUND(E152*0.3762,2)</f>
        <v>1374.26</v>
      </c>
    </row>
    <row r="153" ht="15.75" customHeight="1">
      <c r="A153" s="4">
        <v>45371.0</v>
      </c>
      <c r="B153" s="5" t="s">
        <v>24</v>
      </c>
      <c r="C153" s="5">
        <v>4.0</v>
      </c>
      <c r="D153" s="6">
        <v>433.0</v>
      </c>
      <c r="E153" s="6">
        <f t="shared" si="1"/>
        <v>1732</v>
      </c>
      <c r="F153" s="5" t="s">
        <v>66</v>
      </c>
      <c r="G153" s="5" t="s">
        <v>77</v>
      </c>
      <c r="H153" s="5" t="s">
        <v>18</v>
      </c>
      <c r="I153" s="7">
        <f>ROUND(E153*0.2098,2)</f>
        <v>363.37</v>
      </c>
    </row>
    <row r="154" ht="15.75" customHeight="1">
      <c r="A154" s="4">
        <v>45481.0</v>
      </c>
      <c r="B154" s="5" t="s">
        <v>30</v>
      </c>
      <c r="C154" s="5">
        <v>15.0</v>
      </c>
      <c r="D154" s="6">
        <v>278.0</v>
      </c>
      <c r="E154" s="6">
        <f t="shared" si="1"/>
        <v>4170</v>
      </c>
      <c r="F154" s="5" t="s">
        <v>11</v>
      </c>
      <c r="G154" s="5" t="s">
        <v>51</v>
      </c>
      <c r="H154" s="5" t="s">
        <v>13</v>
      </c>
      <c r="I154" s="7">
        <f>ROUND(E154*0.4943,2)</f>
        <v>2061.23</v>
      </c>
    </row>
    <row r="155" ht="15.75" customHeight="1">
      <c r="A155" s="4">
        <v>45480.0</v>
      </c>
      <c r="B155" s="5" t="s">
        <v>19</v>
      </c>
      <c r="C155" s="5">
        <v>2.0</v>
      </c>
      <c r="D155" s="6">
        <v>259.0</v>
      </c>
      <c r="E155" s="6">
        <f t="shared" si="1"/>
        <v>518</v>
      </c>
      <c r="F155" s="5" t="s">
        <v>100</v>
      </c>
      <c r="G155" s="5" t="s">
        <v>82</v>
      </c>
      <c r="H155" s="5" t="s">
        <v>18</v>
      </c>
      <c r="I155" s="7">
        <f>ROUND(E155*0.2275,2)</f>
        <v>117.85</v>
      </c>
    </row>
    <row r="156" ht="15.75" customHeight="1">
      <c r="A156" s="4">
        <v>45400.0</v>
      </c>
      <c r="B156" s="5" t="s">
        <v>10</v>
      </c>
      <c r="C156" s="5">
        <v>2.0</v>
      </c>
      <c r="D156" s="6">
        <v>415.0</v>
      </c>
      <c r="E156" s="6">
        <f t="shared" si="1"/>
        <v>830</v>
      </c>
      <c r="F156" s="5" t="s">
        <v>11</v>
      </c>
      <c r="G156" s="5" t="s">
        <v>40</v>
      </c>
      <c r="H156" s="5" t="s">
        <v>26</v>
      </c>
      <c r="I156" s="7">
        <f>ROUND(E156*0.2616,2)</f>
        <v>217.13</v>
      </c>
    </row>
    <row r="157" ht="15.75" customHeight="1">
      <c r="A157" s="4">
        <v>45575.0</v>
      </c>
      <c r="B157" s="5" t="s">
        <v>30</v>
      </c>
      <c r="C157" s="5">
        <v>19.0</v>
      </c>
      <c r="D157" s="6">
        <v>186.0</v>
      </c>
      <c r="E157" s="6">
        <f t="shared" si="1"/>
        <v>3534</v>
      </c>
      <c r="F157" s="5" t="s">
        <v>39</v>
      </c>
      <c r="G157" s="5" t="s">
        <v>73</v>
      </c>
      <c r="H157" s="5" t="s">
        <v>13</v>
      </c>
      <c r="I157" s="7">
        <f>ROUND(E157*0.4366,2)</f>
        <v>1542.94</v>
      </c>
    </row>
    <row r="158" ht="15.75" customHeight="1">
      <c r="A158" s="4">
        <v>45597.0</v>
      </c>
      <c r="B158" s="5" t="s">
        <v>10</v>
      </c>
      <c r="C158" s="5">
        <v>9.0</v>
      </c>
      <c r="D158" s="6">
        <v>443.0</v>
      </c>
      <c r="E158" s="6">
        <f t="shared" si="1"/>
        <v>3987</v>
      </c>
      <c r="F158" s="5" t="s">
        <v>86</v>
      </c>
      <c r="G158" s="5" t="s">
        <v>40</v>
      </c>
      <c r="H158" s="5" t="s">
        <v>26</v>
      </c>
      <c r="I158" s="7">
        <f>ROUND(E158*0.2752,2)</f>
        <v>1097.22</v>
      </c>
    </row>
    <row r="159" ht="15.75" customHeight="1">
      <c r="A159" s="4">
        <v>45381.0</v>
      </c>
      <c r="B159" s="5" t="s">
        <v>10</v>
      </c>
      <c r="C159" s="5">
        <v>1.0</v>
      </c>
      <c r="D159" s="6">
        <v>153.0</v>
      </c>
      <c r="E159" s="6">
        <f t="shared" si="1"/>
        <v>153</v>
      </c>
      <c r="F159" s="5" t="s">
        <v>89</v>
      </c>
      <c r="G159" s="5" t="s">
        <v>33</v>
      </c>
      <c r="H159" s="5" t="s">
        <v>26</v>
      </c>
      <c r="I159" s="7">
        <f>ROUND(E159*0.2971,2)</f>
        <v>45.46</v>
      </c>
    </row>
    <row r="160" ht="15.75" customHeight="1">
      <c r="A160" s="4">
        <v>45381.0</v>
      </c>
      <c r="B160" s="5" t="s">
        <v>19</v>
      </c>
      <c r="C160" s="5">
        <v>2.0</v>
      </c>
      <c r="D160" s="6">
        <v>151.0</v>
      </c>
      <c r="E160" s="6">
        <f t="shared" si="1"/>
        <v>302</v>
      </c>
      <c r="F160" s="5" t="s">
        <v>56</v>
      </c>
      <c r="G160" s="5" t="s">
        <v>48</v>
      </c>
      <c r="H160" s="5" t="s">
        <v>13</v>
      </c>
      <c r="I160" s="7">
        <f>ROUND(E160*0.4237,2)</f>
        <v>127.96</v>
      </c>
    </row>
    <row r="161" ht="15.75" customHeight="1">
      <c r="A161" s="4">
        <v>45535.0</v>
      </c>
      <c r="B161" s="5" t="s">
        <v>24</v>
      </c>
      <c r="C161" s="5">
        <v>12.0</v>
      </c>
      <c r="D161" s="6">
        <v>305.0</v>
      </c>
      <c r="E161" s="6">
        <f t="shared" si="1"/>
        <v>3660</v>
      </c>
      <c r="F161" s="5" t="s">
        <v>22</v>
      </c>
      <c r="G161" s="5" t="s">
        <v>88</v>
      </c>
      <c r="H161" s="5" t="s">
        <v>26</v>
      </c>
      <c r="I161" s="7">
        <f>ROUND(E161*0.2665,2)</f>
        <v>975.39</v>
      </c>
    </row>
    <row r="162" ht="15.75" customHeight="1">
      <c r="A162" s="4">
        <v>45606.0</v>
      </c>
      <c r="B162" s="5" t="s">
        <v>10</v>
      </c>
      <c r="C162" s="5">
        <v>17.0</v>
      </c>
      <c r="D162" s="6">
        <v>221.0</v>
      </c>
      <c r="E162" s="6">
        <f t="shared" si="1"/>
        <v>3757</v>
      </c>
      <c r="F162" s="5" t="s">
        <v>16</v>
      </c>
      <c r="G162" s="5" t="s">
        <v>53</v>
      </c>
      <c r="H162" s="5" t="s">
        <v>13</v>
      </c>
      <c r="I162" s="7">
        <f>ROUND(E162*0.4996,2)</f>
        <v>1877</v>
      </c>
    </row>
    <row r="163" ht="15.75" customHeight="1">
      <c r="A163" s="4">
        <v>45497.0</v>
      </c>
      <c r="B163" s="5" t="s">
        <v>24</v>
      </c>
      <c r="C163" s="5">
        <v>4.0</v>
      </c>
      <c r="D163" s="6">
        <v>296.0</v>
      </c>
      <c r="E163" s="6">
        <f t="shared" si="1"/>
        <v>1184</v>
      </c>
      <c r="F163" s="5" t="s">
        <v>72</v>
      </c>
      <c r="G163" s="5" t="s">
        <v>69</v>
      </c>
      <c r="H163" s="5" t="s">
        <v>13</v>
      </c>
      <c r="I163" s="7">
        <f>ROUND(E163*0.2966,2)</f>
        <v>351.17</v>
      </c>
    </row>
    <row r="164" ht="15.75" customHeight="1">
      <c r="A164" s="4">
        <v>45367.0</v>
      </c>
      <c r="B164" s="5" t="s">
        <v>10</v>
      </c>
      <c r="C164" s="5">
        <v>5.0</v>
      </c>
      <c r="D164" s="6">
        <v>210.0</v>
      </c>
      <c r="E164" s="6">
        <f t="shared" si="1"/>
        <v>1050</v>
      </c>
      <c r="F164" s="5" t="s">
        <v>46</v>
      </c>
      <c r="G164" s="5" t="s">
        <v>84</v>
      </c>
      <c r="H164" s="5" t="s">
        <v>26</v>
      </c>
      <c r="I164" s="7">
        <f>ROUND(E164*0.4136,2)</f>
        <v>434.28</v>
      </c>
    </row>
    <row r="165" ht="15.75" customHeight="1">
      <c r="A165" s="4">
        <v>45487.0</v>
      </c>
      <c r="B165" s="5" t="s">
        <v>19</v>
      </c>
      <c r="C165" s="5">
        <v>15.0</v>
      </c>
      <c r="D165" s="6">
        <v>302.0</v>
      </c>
      <c r="E165" s="6">
        <f t="shared" si="1"/>
        <v>4530</v>
      </c>
      <c r="F165" s="5" t="s">
        <v>44</v>
      </c>
      <c r="G165" s="5" t="s">
        <v>59</v>
      </c>
      <c r="H165" s="5" t="s">
        <v>26</v>
      </c>
      <c r="I165" s="7">
        <f>ROUND(E165*0.2343,2)</f>
        <v>1061.38</v>
      </c>
    </row>
    <row r="166" ht="15.75" customHeight="1">
      <c r="A166" s="4">
        <v>45627.0</v>
      </c>
      <c r="B166" s="5" t="s">
        <v>30</v>
      </c>
      <c r="C166" s="5">
        <v>14.0</v>
      </c>
      <c r="D166" s="6">
        <v>281.0</v>
      </c>
      <c r="E166" s="6">
        <f t="shared" si="1"/>
        <v>3934</v>
      </c>
      <c r="F166" s="5" t="s">
        <v>39</v>
      </c>
      <c r="G166" s="5" t="s">
        <v>77</v>
      </c>
      <c r="H166" s="5" t="s">
        <v>18</v>
      </c>
      <c r="I166" s="7">
        <f>ROUND(E166*0.4482,2)</f>
        <v>1763.22</v>
      </c>
    </row>
    <row r="167" ht="15.75" customHeight="1">
      <c r="A167" s="4">
        <v>45496.0</v>
      </c>
      <c r="B167" s="5" t="s">
        <v>24</v>
      </c>
      <c r="C167" s="5">
        <v>4.0</v>
      </c>
      <c r="D167" s="6">
        <v>225.0</v>
      </c>
      <c r="E167" s="6">
        <f t="shared" si="1"/>
        <v>900</v>
      </c>
      <c r="F167" s="5" t="s">
        <v>95</v>
      </c>
      <c r="G167" s="5" t="s">
        <v>71</v>
      </c>
      <c r="H167" s="5" t="s">
        <v>18</v>
      </c>
      <c r="I167" s="7">
        <f>ROUND(E167*0.4861,2)</f>
        <v>437.49</v>
      </c>
    </row>
    <row r="168" ht="15.75" customHeight="1">
      <c r="A168" s="4">
        <v>45643.0</v>
      </c>
      <c r="B168" s="5" t="s">
        <v>24</v>
      </c>
      <c r="C168" s="5">
        <v>3.0</v>
      </c>
      <c r="D168" s="6">
        <v>136.0</v>
      </c>
      <c r="E168" s="6">
        <f t="shared" si="1"/>
        <v>408</v>
      </c>
      <c r="F168" s="5" t="s">
        <v>96</v>
      </c>
      <c r="G168" s="5" t="s">
        <v>15</v>
      </c>
      <c r="H168" s="5" t="s">
        <v>18</v>
      </c>
      <c r="I168" s="7">
        <f>ROUND(E168*0.229,2)</f>
        <v>93.43</v>
      </c>
    </row>
    <row r="169" ht="15.75" customHeight="1">
      <c r="A169" s="4">
        <v>45482.0</v>
      </c>
      <c r="B169" s="5" t="s">
        <v>30</v>
      </c>
      <c r="C169" s="5">
        <v>18.0</v>
      </c>
      <c r="D169" s="6">
        <v>124.0</v>
      </c>
      <c r="E169" s="6">
        <f t="shared" si="1"/>
        <v>2232</v>
      </c>
      <c r="F169" s="5" t="s">
        <v>42</v>
      </c>
      <c r="G169" s="5" t="s">
        <v>38</v>
      </c>
      <c r="H169" s="5" t="s">
        <v>18</v>
      </c>
      <c r="I169" s="7">
        <f>ROUND(E169*0.401,2)</f>
        <v>895.03</v>
      </c>
    </row>
    <row r="170" ht="15.75" customHeight="1">
      <c r="A170" s="4">
        <v>45502.0</v>
      </c>
      <c r="B170" s="5" t="s">
        <v>19</v>
      </c>
      <c r="C170" s="5">
        <v>14.0</v>
      </c>
      <c r="D170" s="6">
        <v>447.0</v>
      </c>
      <c r="E170" s="6">
        <f t="shared" si="1"/>
        <v>6258</v>
      </c>
      <c r="F170" s="5" t="s">
        <v>58</v>
      </c>
      <c r="G170" s="5" t="s">
        <v>35</v>
      </c>
      <c r="H170" s="5" t="s">
        <v>18</v>
      </c>
      <c r="I170" s="7">
        <f>ROUND(E170*0.3801,2)</f>
        <v>2378.67</v>
      </c>
    </row>
    <row r="171" ht="15.75" customHeight="1">
      <c r="A171" s="4">
        <v>45472.0</v>
      </c>
      <c r="B171" s="5" t="s">
        <v>10</v>
      </c>
      <c r="C171" s="5">
        <v>19.0</v>
      </c>
      <c r="D171" s="6">
        <v>303.0</v>
      </c>
      <c r="E171" s="6">
        <f t="shared" si="1"/>
        <v>5757</v>
      </c>
      <c r="F171" s="5" t="s">
        <v>86</v>
      </c>
      <c r="G171" s="5" t="s">
        <v>85</v>
      </c>
      <c r="H171" s="5" t="s">
        <v>13</v>
      </c>
      <c r="I171" s="7">
        <f>ROUND(E171*0.4542,2)</f>
        <v>2614.83</v>
      </c>
    </row>
    <row r="172" ht="15.75" customHeight="1">
      <c r="A172" s="4">
        <v>45471.0</v>
      </c>
      <c r="B172" s="5" t="s">
        <v>19</v>
      </c>
      <c r="C172" s="5">
        <v>4.0</v>
      </c>
      <c r="D172" s="6">
        <v>405.0</v>
      </c>
      <c r="E172" s="6">
        <f t="shared" si="1"/>
        <v>1620</v>
      </c>
      <c r="F172" s="5" t="s">
        <v>36</v>
      </c>
      <c r="G172" s="5" t="s">
        <v>12</v>
      </c>
      <c r="H172" s="5" t="s">
        <v>18</v>
      </c>
      <c r="I172" s="7">
        <f>ROUND(E172*0.4535,2)</f>
        <v>734.67</v>
      </c>
    </row>
    <row r="173" ht="15.75" customHeight="1">
      <c r="A173" s="4">
        <v>45610.0</v>
      </c>
      <c r="B173" s="5" t="s">
        <v>10</v>
      </c>
      <c r="C173" s="5">
        <v>20.0</v>
      </c>
      <c r="D173" s="6">
        <v>472.0</v>
      </c>
      <c r="E173" s="6">
        <f t="shared" si="1"/>
        <v>9440</v>
      </c>
      <c r="F173" s="5" t="s">
        <v>79</v>
      </c>
      <c r="G173" s="5" t="s">
        <v>29</v>
      </c>
      <c r="H173" s="5" t="s">
        <v>13</v>
      </c>
      <c r="I173" s="7">
        <f>ROUND(E173*0.2541,2)</f>
        <v>2398.7</v>
      </c>
    </row>
    <row r="174" ht="15.75" customHeight="1">
      <c r="A174" s="4">
        <v>45651.0</v>
      </c>
      <c r="B174" s="5" t="s">
        <v>19</v>
      </c>
      <c r="C174" s="5">
        <v>11.0</v>
      </c>
      <c r="D174" s="6">
        <v>240.0</v>
      </c>
      <c r="E174" s="6">
        <f t="shared" si="1"/>
        <v>2640</v>
      </c>
      <c r="F174" s="5" t="s">
        <v>103</v>
      </c>
      <c r="G174" s="5" t="s">
        <v>76</v>
      </c>
      <c r="H174" s="5" t="s">
        <v>26</v>
      </c>
      <c r="I174" s="7">
        <f>ROUND(E174*0.3972,2)</f>
        <v>1048.61</v>
      </c>
    </row>
    <row r="175" ht="15.75" customHeight="1">
      <c r="A175" s="4">
        <v>45327.0</v>
      </c>
      <c r="B175" s="5" t="s">
        <v>30</v>
      </c>
      <c r="C175" s="5">
        <v>1.0</v>
      </c>
      <c r="D175" s="6">
        <v>137.0</v>
      </c>
      <c r="E175" s="6">
        <f t="shared" si="1"/>
        <v>137</v>
      </c>
      <c r="F175" s="5" t="s">
        <v>97</v>
      </c>
      <c r="G175" s="5" t="s">
        <v>104</v>
      </c>
      <c r="H175" s="5" t="s">
        <v>18</v>
      </c>
      <c r="I175" s="7">
        <f>ROUND(E175*0.3259,2)</f>
        <v>44.65</v>
      </c>
    </row>
    <row r="176" ht="15.75" customHeight="1">
      <c r="A176" s="4">
        <v>45466.0</v>
      </c>
      <c r="B176" s="5" t="s">
        <v>30</v>
      </c>
      <c r="C176" s="5">
        <v>12.0</v>
      </c>
      <c r="D176" s="6">
        <v>225.0</v>
      </c>
      <c r="E176" s="6">
        <f t="shared" si="1"/>
        <v>2700</v>
      </c>
      <c r="F176" s="5" t="s">
        <v>95</v>
      </c>
      <c r="G176" s="5" t="s">
        <v>87</v>
      </c>
      <c r="H176" s="5" t="s">
        <v>26</v>
      </c>
      <c r="I176" s="7">
        <f>ROUND(E176*0.2255,2)</f>
        <v>608.85</v>
      </c>
    </row>
    <row r="177" ht="15.75" customHeight="1">
      <c r="A177" s="4">
        <v>45318.0</v>
      </c>
      <c r="B177" s="5" t="s">
        <v>30</v>
      </c>
      <c r="C177" s="5">
        <v>6.0</v>
      </c>
      <c r="D177" s="6">
        <v>402.0</v>
      </c>
      <c r="E177" s="6">
        <f t="shared" si="1"/>
        <v>2412</v>
      </c>
      <c r="F177" s="5" t="s">
        <v>74</v>
      </c>
      <c r="G177" s="5" t="s">
        <v>15</v>
      </c>
      <c r="H177" s="5" t="s">
        <v>18</v>
      </c>
      <c r="I177" s="7">
        <f>ROUND(E177*0.3329,2)</f>
        <v>802.95</v>
      </c>
    </row>
    <row r="178" ht="15.75" customHeight="1">
      <c r="A178" s="4">
        <v>45509.0</v>
      </c>
      <c r="B178" s="5" t="s">
        <v>24</v>
      </c>
      <c r="C178" s="5">
        <v>20.0</v>
      </c>
      <c r="D178" s="6">
        <v>277.0</v>
      </c>
      <c r="E178" s="6">
        <f t="shared" si="1"/>
        <v>5540</v>
      </c>
      <c r="F178" s="5" t="s">
        <v>54</v>
      </c>
      <c r="G178" s="5" t="s">
        <v>104</v>
      </c>
      <c r="H178" s="5" t="s">
        <v>26</v>
      </c>
      <c r="I178" s="7">
        <f>ROUND(E178*0.2341,2)</f>
        <v>1296.91</v>
      </c>
    </row>
    <row r="179" ht="15.75" customHeight="1">
      <c r="A179" s="4">
        <v>45512.0</v>
      </c>
      <c r="B179" s="5" t="s">
        <v>10</v>
      </c>
      <c r="C179" s="5">
        <v>10.0</v>
      </c>
      <c r="D179" s="6">
        <v>371.0</v>
      </c>
      <c r="E179" s="6">
        <f t="shared" si="1"/>
        <v>3710</v>
      </c>
      <c r="F179" s="5" t="s">
        <v>99</v>
      </c>
      <c r="G179" s="5" t="s">
        <v>55</v>
      </c>
      <c r="H179" s="5" t="s">
        <v>26</v>
      </c>
      <c r="I179" s="7">
        <f>ROUND(E179*0.4001,2)</f>
        <v>1484.37</v>
      </c>
    </row>
    <row r="180" ht="15.75" customHeight="1">
      <c r="A180" s="4">
        <v>45315.0</v>
      </c>
      <c r="B180" s="5" t="s">
        <v>30</v>
      </c>
      <c r="C180" s="5">
        <v>13.0</v>
      </c>
      <c r="D180" s="6">
        <v>494.0</v>
      </c>
      <c r="E180" s="6">
        <f t="shared" si="1"/>
        <v>6422</v>
      </c>
      <c r="F180" s="5" t="s">
        <v>74</v>
      </c>
      <c r="G180" s="5" t="s">
        <v>43</v>
      </c>
      <c r="H180" s="5" t="s">
        <v>13</v>
      </c>
      <c r="I180" s="7">
        <f>ROUND(E180*0.2904,2)</f>
        <v>1864.95</v>
      </c>
    </row>
    <row r="181" ht="15.75" customHeight="1">
      <c r="A181" s="4">
        <v>45400.0</v>
      </c>
      <c r="B181" s="5" t="s">
        <v>30</v>
      </c>
      <c r="C181" s="5">
        <v>9.0</v>
      </c>
      <c r="D181" s="6">
        <v>216.0</v>
      </c>
      <c r="E181" s="6">
        <f t="shared" si="1"/>
        <v>1944</v>
      </c>
      <c r="F181" s="5" t="s">
        <v>105</v>
      </c>
      <c r="G181" s="5" t="s">
        <v>43</v>
      </c>
      <c r="H181" s="5" t="s">
        <v>18</v>
      </c>
      <c r="I181" s="7">
        <f>ROUND(E181*0.4241,2)</f>
        <v>824.45</v>
      </c>
    </row>
    <row r="182" ht="15.75" customHeight="1">
      <c r="A182" s="4">
        <v>45381.0</v>
      </c>
      <c r="B182" s="5" t="s">
        <v>30</v>
      </c>
      <c r="C182" s="5">
        <v>13.0</v>
      </c>
      <c r="D182" s="6">
        <v>313.0</v>
      </c>
      <c r="E182" s="6">
        <f t="shared" si="1"/>
        <v>4069</v>
      </c>
      <c r="F182" s="5" t="s">
        <v>39</v>
      </c>
      <c r="G182" s="5" t="s">
        <v>65</v>
      </c>
      <c r="H182" s="5" t="s">
        <v>26</v>
      </c>
      <c r="I182" s="7">
        <f>ROUND(E182*0.45,2)</f>
        <v>1831.05</v>
      </c>
    </row>
    <row r="183" ht="15.75" customHeight="1">
      <c r="A183" s="4">
        <v>45473.0</v>
      </c>
      <c r="B183" s="5" t="s">
        <v>10</v>
      </c>
      <c r="C183" s="5">
        <v>13.0</v>
      </c>
      <c r="D183" s="6">
        <v>445.0</v>
      </c>
      <c r="E183" s="6">
        <f t="shared" si="1"/>
        <v>5785</v>
      </c>
      <c r="F183" s="5" t="s">
        <v>102</v>
      </c>
      <c r="G183" s="5" t="s">
        <v>21</v>
      </c>
      <c r="H183" s="5" t="s">
        <v>13</v>
      </c>
      <c r="I183" s="7">
        <f>ROUND(E183*0.3379,2)</f>
        <v>1954.75</v>
      </c>
    </row>
    <row r="184" ht="15.75" customHeight="1">
      <c r="A184" s="4">
        <v>45331.0</v>
      </c>
      <c r="B184" s="5" t="s">
        <v>19</v>
      </c>
      <c r="C184" s="5">
        <v>19.0</v>
      </c>
      <c r="D184" s="6">
        <v>272.0</v>
      </c>
      <c r="E184" s="6">
        <f t="shared" si="1"/>
        <v>5168</v>
      </c>
      <c r="F184" s="5" t="s">
        <v>80</v>
      </c>
      <c r="G184" s="5" t="s">
        <v>77</v>
      </c>
      <c r="H184" s="5" t="s">
        <v>18</v>
      </c>
      <c r="I184" s="7">
        <f>ROUND(E184*0.2346,2)</f>
        <v>1212.41</v>
      </c>
    </row>
    <row r="185" ht="15.75" customHeight="1">
      <c r="A185" s="4">
        <v>45302.0</v>
      </c>
      <c r="B185" s="5" t="s">
        <v>19</v>
      </c>
      <c r="C185" s="5">
        <v>6.0</v>
      </c>
      <c r="D185" s="6">
        <v>421.0</v>
      </c>
      <c r="E185" s="6">
        <f t="shared" si="1"/>
        <v>2526</v>
      </c>
      <c r="F185" s="5" t="s">
        <v>66</v>
      </c>
      <c r="G185" s="5" t="s">
        <v>57</v>
      </c>
      <c r="H185" s="5" t="s">
        <v>26</v>
      </c>
      <c r="I185" s="7">
        <f>ROUND(E185*0.4759,2)</f>
        <v>1202.12</v>
      </c>
    </row>
    <row r="186" ht="15.75" customHeight="1">
      <c r="A186" s="4">
        <v>45337.0</v>
      </c>
      <c r="B186" s="5" t="s">
        <v>24</v>
      </c>
      <c r="C186" s="5">
        <v>4.0</v>
      </c>
      <c r="D186" s="6">
        <v>197.0</v>
      </c>
      <c r="E186" s="6">
        <f t="shared" si="1"/>
        <v>788</v>
      </c>
      <c r="F186" s="5" t="s">
        <v>99</v>
      </c>
      <c r="G186" s="5" t="s">
        <v>61</v>
      </c>
      <c r="H186" s="5" t="s">
        <v>26</v>
      </c>
      <c r="I186" s="7">
        <f>ROUND(E186*0.2236,2)</f>
        <v>176.2</v>
      </c>
    </row>
    <row r="187" ht="15.75" customHeight="1">
      <c r="A187" s="4">
        <v>45450.0</v>
      </c>
      <c r="B187" s="5" t="s">
        <v>19</v>
      </c>
      <c r="C187" s="5">
        <v>8.0</v>
      </c>
      <c r="D187" s="6">
        <v>233.0</v>
      </c>
      <c r="E187" s="6">
        <f t="shared" si="1"/>
        <v>1864</v>
      </c>
      <c r="F187" s="5" t="s">
        <v>20</v>
      </c>
      <c r="G187" s="5" t="s">
        <v>69</v>
      </c>
      <c r="H187" s="5" t="s">
        <v>26</v>
      </c>
      <c r="I187" s="7">
        <f>ROUND(E187*0.39,2)</f>
        <v>726.96</v>
      </c>
    </row>
    <row r="188" ht="15.75" customHeight="1">
      <c r="A188" s="4">
        <v>45563.0</v>
      </c>
      <c r="B188" s="5" t="s">
        <v>30</v>
      </c>
      <c r="C188" s="5">
        <v>12.0</v>
      </c>
      <c r="D188" s="6">
        <v>240.0</v>
      </c>
      <c r="E188" s="6">
        <f t="shared" si="1"/>
        <v>2880</v>
      </c>
      <c r="F188" s="5" t="s">
        <v>16</v>
      </c>
      <c r="G188" s="5" t="s">
        <v>76</v>
      </c>
      <c r="H188" s="5" t="s">
        <v>13</v>
      </c>
      <c r="I188" s="7">
        <f>ROUND(E188*0.2308,2)</f>
        <v>664.7</v>
      </c>
    </row>
    <row r="189" ht="15.75" customHeight="1">
      <c r="A189" s="4">
        <v>45423.0</v>
      </c>
      <c r="B189" s="5" t="s">
        <v>30</v>
      </c>
      <c r="C189" s="5">
        <v>6.0</v>
      </c>
      <c r="D189" s="6">
        <v>341.0</v>
      </c>
      <c r="E189" s="6">
        <f t="shared" si="1"/>
        <v>2046</v>
      </c>
      <c r="F189" s="5" t="s">
        <v>68</v>
      </c>
      <c r="G189" s="5" t="s">
        <v>69</v>
      </c>
      <c r="H189" s="5" t="s">
        <v>13</v>
      </c>
      <c r="I189" s="7">
        <f>ROUND(E189*0.4854,2)</f>
        <v>993.13</v>
      </c>
    </row>
    <row r="190" ht="15.75" customHeight="1">
      <c r="A190" s="4">
        <v>45613.0</v>
      </c>
      <c r="B190" s="5" t="s">
        <v>24</v>
      </c>
      <c r="C190" s="5">
        <v>15.0</v>
      </c>
      <c r="D190" s="6">
        <v>402.0</v>
      </c>
      <c r="E190" s="6">
        <f t="shared" si="1"/>
        <v>6030</v>
      </c>
      <c r="F190" s="5" t="s">
        <v>68</v>
      </c>
      <c r="G190" s="5" t="s">
        <v>84</v>
      </c>
      <c r="H190" s="5" t="s">
        <v>18</v>
      </c>
      <c r="I190" s="7">
        <f>ROUND(E190*0.4043,2)</f>
        <v>2437.93</v>
      </c>
    </row>
    <row r="191" ht="15.75" customHeight="1">
      <c r="A191" s="4">
        <v>45581.0</v>
      </c>
      <c r="B191" s="5" t="s">
        <v>19</v>
      </c>
      <c r="C191" s="5">
        <v>11.0</v>
      </c>
      <c r="D191" s="6">
        <v>160.0</v>
      </c>
      <c r="E191" s="6">
        <f t="shared" si="1"/>
        <v>1760</v>
      </c>
      <c r="F191" s="5" t="s">
        <v>27</v>
      </c>
      <c r="G191" s="5" t="s">
        <v>85</v>
      </c>
      <c r="H191" s="5" t="s">
        <v>18</v>
      </c>
      <c r="I191" s="7">
        <f>ROUND(E191*0.3894,2)</f>
        <v>685.34</v>
      </c>
    </row>
    <row r="192" ht="15.75" customHeight="1">
      <c r="A192" s="4">
        <v>45432.0</v>
      </c>
      <c r="B192" s="5" t="s">
        <v>10</v>
      </c>
      <c r="C192" s="5">
        <v>12.0</v>
      </c>
      <c r="D192" s="6">
        <v>303.0</v>
      </c>
      <c r="E192" s="6">
        <f t="shared" si="1"/>
        <v>3636</v>
      </c>
      <c r="F192" s="5" t="s">
        <v>49</v>
      </c>
      <c r="G192" s="5" t="s">
        <v>57</v>
      </c>
      <c r="H192" s="5" t="s">
        <v>18</v>
      </c>
      <c r="I192" s="7">
        <f>ROUND(E192*0.2113,2)</f>
        <v>768.29</v>
      </c>
    </row>
    <row r="193" ht="15.75" customHeight="1">
      <c r="A193" s="4">
        <v>45480.0</v>
      </c>
      <c r="B193" s="5" t="s">
        <v>19</v>
      </c>
      <c r="C193" s="5">
        <v>3.0</v>
      </c>
      <c r="D193" s="6">
        <v>358.0</v>
      </c>
      <c r="E193" s="6">
        <f t="shared" si="1"/>
        <v>1074</v>
      </c>
      <c r="F193" s="5" t="s">
        <v>96</v>
      </c>
      <c r="G193" s="5" t="s">
        <v>90</v>
      </c>
      <c r="H193" s="5" t="s">
        <v>26</v>
      </c>
      <c r="I193" s="7">
        <f>ROUND(E193*0.3521,2)</f>
        <v>378.16</v>
      </c>
    </row>
    <row r="194" ht="15.75" customHeight="1">
      <c r="A194" s="4">
        <v>45528.0</v>
      </c>
      <c r="B194" s="5" t="s">
        <v>10</v>
      </c>
      <c r="C194" s="5">
        <v>15.0</v>
      </c>
      <c r="D194" s="6">
        <v>464.0</v>
      </c>
      <c r="E194" s="6">
        <f t="shared" si="1"/>
        <v>6960</v>
      </c>
      <c r="F194" s="5" t="s">
        <v>36</v>
      </c>
      <c r="G194" s="5" t="s">
        <v>57</v>
      </c>
      <c r="H194" s="5" t="s">
        <v>18</v>
      </c>
      <c r="I194" s="7">
        <f>ROUND(E194*0.3815,2)</f>
        <v>2655.24</v>
      </c>
    </row>
    <row r="195" ht="15.75" customHeight="1">
      <c r="A195" s="4">
        <v>45548.0</v>
      </c>
      <c r="B195" s="5" t="s">
        <v>30</v>
      </c>
      <c r="C195" s="5">
        <v>2.0</v>
      </c>
      <c r="D195" s="6">
        <v>280.0</v>
      </c>
      <c r="E195" s="6">
        <f t="shared" si="1"/>
        <v>560</v>
      </c>
      <c r="F195" s="5" t="s">
        <v>52</v>
      </c>
      <c r="G195" s="5" t="s">
        <v>15</v>
      </c>
      <c r="H195" s="5" t="s">
        <v>26</v>
      </c>
      <c r="I195" s="7">
        <f>ROUND(E195*0.3938,2)</f>
        <v>220.53</v>
      </c>
    </row>
    <row r="196" ht="15.75" customHeight="1">
      <c r="A196" s="4">
        <v>45312.0</v>
      </c>
      <c r="B196" s="5" t="s">
        <v>30</v>
      </c>
      <c r="C196" s="5">
        <v>15.0</v>
      </c>
      <c r="D196" s="6">
        <v>496.0</v>
      </c>
      <c r="E196" s="6">
        <f t="shared" si="1"/>
        <v>7440</v>
      </c>
      <c r="F196" s="5" t="s">
        <v>97</v>
      </c>
      <c r="G196" s="5" t="s">
        <v>48</v>
      </c>
      <c r="H196" s="5" t="s">
        <v>26</v>
      </c>
      <c r="I196" s="7">
        <f>ROUND(E196*0.2476,2)</f>
        <v>1842.14</v>
      </c>
    </row>
    <row r="197" ht="15.75" customHeight="1">
      <c r="A197" s="4">
        <v>45482.0</v>
      </c>
      <c r="B197" s="5" t="s">
        <v>19</v>
      </c>
      <c r="C197" s="5">
        <v>13.0</v>
      </c>
      <c r="D197" s="6">
        <v>264.0</v>
      </c>
      <c r="E197" s="6">
        <f t="shared" si="1"/>
        <v>3432</v>
      </c>
      <c r="F197" s="5" t="s">
        <v>52</v>
      </c>
      <c r="G197" s="5" t="s">
        <v>93</v>
      </c>
      <c r="H197" s="5" t="s">
        <v>13</v>
      </c>
      <c r="I197" s="7">
        <f>ROUND(E197*0.4368,2)</f>
        <v>1499.1</v>
      </c>
    </row>
    <row r="198" ht="15.75" customHeight="1">
      <c r="A198" s="4">
        <v>45623.0</v>
      </c>
      <c r="B198" s="5" t="s">
        <v>19</v>
      </c>
      <c r="C198" s="5">
        <v>3.0</v>
      </c>
      <c r="D198" s="6">
        <v>232.0</v>
      </c>
      <c r="E198" s="6">
        <f t="shared" si="1"/>
        <v>696</v>
      </c>
      <c r="F198" s="5" t="s">
        <v>42</v>
      </c>
      <c r="G198" s="5" t="s">
        <v>91</v>
      </c>
      <c r="H198" s="5" t="s">
        <v>18</v>
      </c>
      <c r="I198" s="7">
        <f>ROUND(E198*0.2756,2)</f>
        <v>191.82</v>
      </c>
    </row>
    <row r="199" ht="15.75" customHeight="1">
      <c r="A199" s="4">
        <v>45628.0</v>
      </c>
      <c r="B199" s="5" t="s">
        <v>30</v>
      </c>
      <c r="C199" s="5">
        <v>11.0</v>
      </c>
      <c r="D199" s="6">
        <v>133.0</v>
      </c>
      <c r="E199" s="6">
        <f t="shared" si="1"/>
        <v>1463</v>
      </c>
      <c r="F199" s="5" t="s">
        <v>31</v>
      </c>
      <c r="G199" s="5" t="s">
        <v>76</v>
      </c>
      <c r="H199" s="5" t="s">
        <v>18</v>
      </c>
      <c r="I199" s="7">
        <f>ROUND(E199*0.2931,2)</f>
        <v>428.81</v>
      </c>
    </row>
    <row r="200" ht="15.75" customHeight="1">
      <c r="A200" s="4">
        <v>45627.0</v>
      </c>
      <c r="B200" s="5" t="s">
        <v>24</v>
      </c>
      <c r="C200" s="5">
        <v>5.0</v>
      </c>
      <c r="D200" s="6">
        <v>338.0</v>
      </c>
      <c r="E200" s="6">
        <f t="shared" si="1"/>
        <v>1690</v>
      </c>
      <c r="F200" s="5" t="s">
        <v>96</v>
      </c>
      <c r="G200" s="5" t="s">
        <v>47</v>
      </c>
      <c r="H200" s="5" t="s">
        <v>26</v>
      </c>
      <c r="I200" s="7">
        <f>ROUND(E200*0.313,2)</f>
        <v>528.97</v>
      </c>
    </row>
    <row r="201" ht="15.75" customHeight="1">
      <c r="A201" s="4">
        <v>45460.0</v>
      </c>
      <c r="B201" s="5" t="s">
        <v>30</v>
      </c>
      <c r="C201" s="5">
        <v>17.0</v>
      </c>
      <c r="D201" s="6">
        <v>137.0</v>
      </c>
      <c r="E201" s="6">
        <f t="shared" si="1"/>
        <v>2329</v>
      </c>
      <c r="F201" s="5" t="s">
        <v>31</v>
      </c>
      <c r="G201" s="5" t="s">
        <v>21</v>
      </c>
      <c r="H201" s="5" t="s">
        <v>26</v>
      </c>
      <c r="I201" s="7">
        <f>ROUND(E201*0.3085,2)</f>
        <v>718.5</v>
      </c>
    </row>
    <row r="202" ht="15.75" customHeight="1">
      <c r="A202" s="4">
        <v>45477.0</v>
      </c>
      <c r="B202" s="5" t="s">
        <v>19</v>
      </c>
      <c r="C202" s="5">
        <v>6.0</v>
      </c>
      <c r="D202" s="6">
        <v>480.0</v>
      </c>
      <c r="E202" s="6">
        <f t="shared" si="1"/>
        <v>2880</v>
      </c>
      <c r="F202" s="5" t="s">
        <v>52</v>
      </c>
      <c r="G202" s="5" t="s">
        <v>55</v>
      </c>
      <c r="H202" s="5" t="s">
        <v>13</v>
      </c>
      <c r="I202" s="7">
        <f>ROUND(E202*0.268,2)</f>
        <v>771.84</v>
      </c>
    </row>
    <row r="203" ht="15.75" customHeight="1">
      <c r="A203" s="4">
        <v>45362.0</v>
      </c>
      <c r="B203" s="5" t="s">
        <v>30</v>
      </c>
      <c r="C203" s="5">
        <v>3.0</v>
      </c>
      <c r="D203" s="6">
        <v>218.0</v>
      </c>
      <c r="E203" s="6">
        <f t="shared" si="1"/>
        <v>654</v>
      </c>
      <c r="F203" s="5" t="s">
        <v>22</v>
      </c>
      <c r="G203" s="5" t="s">
        <v>65</v>
      </c>
      <c r="H203" s="5" t="s">
        <v>26</v>
      </c>
      <c r="I203" s="7">
        <f>ROUND(E203*0.4505,2)</f>
        <v>294.63</v>
      </c>
    </row>
    <row r="204" ht="15.75" customHeight="1">
      <c r="A204" s="4">
        <v>45561.0</v>
      </c>
      <c r="B204" s="5" t="s">
        <v>10</v>
      </c>
      <c r="C204" s="5">
        <v>11.0</v>
      </c>
      <c r="D204" s="6">
        <v>451.0</v>
      </c>
      <c r="E204" s="6">
        <f t="shared" si="1"/>
        <v>4961</v>
      </c>
      <c r="F204" s="5" t="s">
        <v>66</v>
      </c>
      <c r="G204" s="5" t="s">
        <v>40</v>
      </c>
      <c r="H204" s="5" t="s">
        <v>26</v>
      </c>
      <c r="I204" s="7">
        <f>ROUND(E204*0.313,2)</f>
        <v>1552.79</v>
      </c>
    </row>
    <row r="205" ht="15.75" customHeight="1">
      <c r="A205" s="4">
        <v>45375.0</v>
      </c>
      <c r="B205" s="5" t="s">
        <v>30</v>
      </c>
      <c r="C205" s="5">
        <v>20.0</v>
      </c>
      <c r="D205" s="6">
        <v>424.0</v>
      </c>
      <c r="E205" s="6">
        <f t="shared" si="1"/>
        <v>8480</v>
      </c>
      <c r="F205" s="5" t="s">
        <v>20</v>
      </c>
      <c r="G205" s="5" t="s">
        <v>88</v>
      </c>
      <c r="H205" s="5" t="s">
        <v>13</v>
      </c>
      <c r="I205" s="7">
        <f>ROUND(E205*0.3233,2)</f>
        <v>2741.58</v>
      </c>
    </row>
    <row r="206" ht="15.75" customHeight="1">
      <c r="A206" s="4">
        <v>45638.0</v>
      </c>
      <c r="B206" s="5" t="s">
        <v>30</v>
      </c>
      <c r="C206" s="5">
        <v>15.0</v>
      </c>
      <c r="D206" s="6">
        <v>344.0</v>
      </c>
      <c r="E206" s="6">
        <f t="shared" si="1"/>
        <v>5160</v>
      </c>
      <c r="F206" s="5" t="s">
        <v>68</v>
      </c>
      <c r="G206" s="5" t="s">
        <v>88</v>
      </c>
      <c r="H206" s="5" t="s">
        <v>13</v>
      </c>
      <c r="I206" s="7">
        <f>ROUND(E206*0.3602,2)</f>
        <v>1858.63</v>
      </c>
    </row>
    <row r="207" ht="15.75" customHeight="1">
      <c r="A207" s="4">
        <v>45450.0</v>
      </c>
      <c r="B207" s="5" t="s">
        <v>24</v>
      </c>
      <c r="C207" s="5">
        <v>7.0</v>
      </c>
      <c r="D207" s="6">
        <v>247.0</v>
      </c>
      <c r="E207" s="6">
        <f t="shared" si="1"/>
        <v>1729</v>
      </c>
      <c r="F207" s="5" t="s">
        <v>36</v>
      </c>
      <c r="G207" s="5" t="s">
        <v>88</v>
      </c>
      <c r="H207" s="5" t="s">
        <v>18</v>
      </c>
      <c r="I207" s="7">
        <f>ROUND(E207*0.4308,2)</f>
        <v>744.85</v>
      </c>
    </row>
    <row r="208" ht="15.75" customHeight="1">
      <c r="A208" s="4">
        <v>45487.0</v>
      </c>
      <c r="B208" s="5" t="s">
        <v>24</v>
      </c>
      <c r="C208" s="5">
        <v>6.0</v>
      </c>
      <c r="D208" s="6">
        <v>427.0</v>
      </c>
      <c r="E208" s="6">
        <f t="shared" si="1"/>
        <v>2562</v>
      </c>
      <c r="F208" s="5" t="s">
        <v>50</v>
      </c>
      <c r="G208" s="5" t="s">
        <v>40</v>
      </c>
      <c r="H208" s="5" t="s">
        <v>18</v>
      </c>
      <c r="I208" s="7">
        <f>ROUND(E208*0.2157,2)</f>
        <v>552.62</v>
      </c>
    </row>
    <row r="209" ht="15.75" customHeight="1">
      <c r="A209" s="4">
        <v>45538.0</v>
      </c>
      <c r="B209" s="5" t="s">
        <v>19</v>
      </c>
      <c r="C209" s="5">
        <v>18.0</v>
      </c>
      <c r="D209" s="6">
        <v>474.0</v>
      </c>
      <c r="E209" s="6">
        <f t="shared" si="1"/>
        <v>8532</v>
      </c>
      <c r="F209" s="5" t="s">
        <v>67</v>
      </c>
      <c r="G209" s="5" t="s">
        <v>48</v>
      </c>
      <c r="H209" s="5" t="s">
        <v>13</v>
      </c>
      <c r="I209" s="7">
        <f>ROUND(E209*0.2855,2)</f>
        <v>2435.89</v>
      </c>
    </row>
    <row r="210" ht="15.75" customHeight="1">
      <c r="A210" s="4">
        <v>45374.0</v>
      </c>
      <c r="B210" s="5" t="s">
        <v>19</v>
      </c>
      <c r="C210" s="5">
        <v>15.0</v>
      </c>
      <c r="D210" s="6">
        <v>462.0</v>
      </c>
      <c r="E210" s="6">
        <f t="shared" si="1"/>
        <v>6930</v>
      </c>
      <c r="F210" s="5" t="s">
        <v>86</v>
      </c>
      <c r="G210" s="5" t="s">
        <v>21</v>
      </c>
      <c r="H210" s="5" t="s">
        <v>13</v>
      </c>
      <c r="I210" s="7">
        <f>ROUND(E210*0.4839,2)</f>
        <v>3353.43</v>
      </c>
    </row>
    <row r="211" ht="15.75" customHeight="1">
      <c r="A211" s="4">
        <v>45405.0</v>
      </c>
      <c r="B211" s="5" t="s">
        <v>24</v>
      </c>
      <c r="C211" s="5">
        <v>12.0</v>
      </c>
      <c r="D211" s="6">
        <v>472.0</v>
      </c>
      <c r="E211" s="6">
        <f t="shared" si="1"/>
        <v>5664</v>
      </c>
      <c r="F211" s="5" t="s">
        <v>56</v>
      </c>
      <c r="G211" s="5" t="s">
        <v>35</v>
      </c>
      <c r="H211" s="5" t="s">
        <v>18</v>
      </c>
      <c r="I211" s="7">
        <f>ROUND(E211*0.3506,2)</f>
        <v>1985.8</v>
      </c>
    </row>
    <row r="212" ht="15.75" customHeight="1">
      <c r="A212" s="4">
        <v>45412.0</v>
      </c>
      <c r="B212" s="5" t="s">
        <v>24</v>
      </c>
      <c r="C212" s="5">
        <v>3.0</v>
      </c>
      <c r="D212" s="6">
        <v>250.0</v>
      </c>
      <c r="E212" s="6">
        <f t="shared" si="1"/>
        <v>750</v>
      </c>
      <c r="F212" s="5" t="s">
        <v>14</v>
      </c>
      <c r="G212" s="5" t="s">
        <v>37</v>
      </c>
      <c r="H212" s="5" t="s">
        <v>13</v>
      </c>
      <c r="I212" s="7">
        <f>ROUND(E212*0.4518,2)</f>
        <v>338.85</v>
      </c>
    </row>
    <row r="213" ht="15.75" customHeight="1">
      <c r="A213" s="4">
        <v>45624.0</v>
      </c>
      <c r="B213" s="5" t="s">
        <v>19</v>
      </c>
      <c r="C213" s="5">
        <v>5.0</v>
      </c>
      <c r="D213" s="6">
        <v>155.0</v>
      </c>
      <c r="E213" s="6">
        <f t="shared" si="1"/>
        <v>775</v>
      </c>
      <c r="F213" s="5" t="s">
        <v>98</v>
      </c>
      <c r="G213" s="5" t="s">
        <v>85</v>
      </c>
      <c r="H213" s="5" t="s">
        <v>26</v>
      </c>
      <c r="I213" s="7">
        <f>ROUND(E213*0.4493,2)</f>
        <v>348.21</v>
      </c>
    </row>
    <row r="214" ht="15.75" customHeight="1">
      <c r="A214" s="4">
        <v>45653.0</v>
      </c>
      <c r="B214" s="5" t="s">
        <v>24</v>
      </c>
      <c r="C214" s="5">
        <v>15.0</v>
      </c>
      <c r="D214" s="6">
        <v>346.0</v>
      </c>
      <c r="E214" s="6">
        <f t="shared" si="1"/>
        <v>5190</v>
      </c>
      <c r="F214" s="5" t="s">
        <v>96</v>
      </c>
      <c r="G214" s="5" t="s">
        <v>53</v>
      </c>
      <c r="H214" s="5" t="s">
        <v>18</v>
      </c>
      <c r="I214" s="7">
        <f>ROUND(E214*0.2647,2)</f>
        <v>1373.79</v>
      </c>
    </row>
    <row r="215" ht="15.75" customHeight="1">
      <c r="A215" s="4">
        <v>45368.0</v>
      </c>
      <c r="B215" s="5" t="s">
        <v>24</v>
      </c>
      <c r="C215" s="5">
        <v>4.0</v>
      </c>
      <c r="D215" s="6">
        <v>410.0</v>
      </c>
      <c r="E215" s="6">
        <f t="shared" si="1"/>
        <v>1640</v>
      </c>
      <c r="F215" s="5" t="s">
        <v>11</v>
      </c>
      <c r="G215" s="5" t="s">
        <v>47</v>
      </c>
      <c r="H215" s="5" t="s">
        <v>13</v>
      </c>
      <c r="I215" s="7">
        <f>ROUND(E215*0.2143,2)</f>
        <v>351.45</v>
      </c>
    </row>
    <row r="216" ht="15.75" customHeight="1">
      <c r="A216" s="4">
        <v>45506.0</v>
      </c>
      <c r="B216" s="5" t="s">
        <v>24</v>
      </c>
      <c r="C216" s="5">
        <v>3.0</v>
      </c>
      <c r="D216" s="6">
        <v>144.0</v>
      </c>
      <c r="E216" s="6">
        <f t="shared" si="1"/>
        <v>432</v>
      </c>
      <c r="F216" s="5" t="s">
        <v>94</v>
      </c>
      <c r="G216" s="5" t="s">
        <v>93</v>
      </c>
      <c r="H216" s="5" t="s">
        <v>26</v>
      </c>
      <c r="I216" s="7">
        <f>ROUND(E216*0.2049,2)</f>
        <v>88.52</v>
      </c>
    </row>
    <row r="217" ht="15.75" customHeight="1">
      <c r="A217" s="4">
        <v>45555.0</v>
      </c>
      <c r="B217" s="5" t="s">
        <v>30</v>
      </c>
      <c r="C217" s="5">
        <v>5.0</v>
      </c>
      <c r="D217" s="6">
        <v>217.0</v>
      </c>
      <c r="E217" s="6">
        <f t="shared" si="1"/>
        <v>1085</v>
      </c>
      <c r="F217" s="5" t="s">
        <v>83</v>
      </c>
      <c r="G217" s="5" t="s">
        <v>90</v>
      </c>
      <c r="H217" s="5" t="s">
        <v>18</v>
      </c>
      <c r="I217" s="7">
        <f>ROUND(E217*0.2722,2)</f>
        <v>295.34</v>
      </c>
    </row>
    <row r="218" ht="15.75" customHeight="1">
      <c r="A218" s="4">
        <v>45505.0</v>
      </c>
      <c r="B218" s="5" t="s">
        <v>30</v>
      </c>
      <c r="C218" s="5">
        <v>3.0</v>
      </c>
      <c r="D218" s="6">
        <v>309.0</v>
      </c>
      <c r="E218" s="6">
        <f t="shared" si="1"/>
        <v>927</v>
      </c>
      <c r="F218" s="5" t="s">
        <v>101</v>
      </c>
      <c r="G218" s="5" t="s">
        <v>69</v>
      </c>
      <c r="H218" s="5" t="s">
        <v>26</v>
      </c>
      <c r="I218" s="7">
        <f>ROUND(E218*0.3632,2)</f>
        <v>336.69</v>
      </c>
    </row>
    <row r="219" ht="15.75" customHeight="1">
      <c r="A219" s="4">
        <v>45551.0</v>
      </c>
      <c r="B219" s="5" t="s">
        <v>10</v>
      </c>
      <c r="C219" s="5">
        <v>13.0</v>
      </c>
      <c r="D219" s="6">
        <v>449.0</v>
      </c>
      <c r="E219" s="6">
        <f t="shared" si="1"/>
        <v>5837</v>
      </c>
      <c r="F219" s="5" t="s">
        <v>102</v>
      </c>
      <c r="G219" s="5" t="s">
        <v>91</v>
      </c>
      <c r="H219" s="5" t="s">
        <v>18</v>
      </c>
      <c r="I219" s="7">
        <f>ROUND(E219*0.2761,2)</f>
        <v>1611.6</v>
      </c>
    </row>
    <row r="220" ht="15.75" customHeight="1">
      <c r="A220" s="4">
        <v>45300.0</v>
      </c>
      <c r="B220" s="5" t="s">
        <v>19</v>
      </c>
      <c r="C220" s="5">
        <v>3.0</v>
      </c>
      <c r="D220" s="6">
        <v>238.0</v>
      </c>
      <c r="E220" s="6">
        <f t="shared" si="1"/>
        <v>714</v>
      </c>
      <c r="F220" s="5" t="s">
        <v>58</v>
      </c>
      <c r="G220" s="5" t="s">
        <v>59</v>
      </c>
      <c r="H220" s="5" t="s">
        <v>26</v>
      </c>
      <c r="I220" s="7">
        <f>ROUND(E220*0.4206,2)</f>
        <v>300.31</v>
      </c>
    </row>
    <row r="221" ht="15.75" customHeight="1">
      <c r="A221" s="4">
        <v>45462.0</v>
      </c>
      <c r="B221" s="5" t="s">
        <v>30</v>
      </c>
      <c r="C221" s="5">
        <v>2.0</v>
      </c>
      <c r="D221" s="6">
        <v>241.0</v>
      </c>
      <c r="E221" s="6">
        <f t="shared" si="1"/>
        <v>482</v>
      </c>
      <c r="F221" s="5" t="s">
        <v>52</v>
      </c>
      <c r="G221" s="5" t="s">
        <v>78</v>
      </c>
      <c r="H221" s="5" t="s">
        <v>26</v>
      </c>
      <c r="I221" s="7">
        <f>ROUND(E221*0.3394,2)</f>
        <v>163.59</v>
      </c>
    </row>
    <row r="222" ht="15.75" customHeight="1">
      <c r="A222" s="4">
        <v>45648.0</v>
      </c>
      <c r="B222" s="5" t="s">
        <v>24</v>
      </c>
      <c r="C222" s="5">
        <v>6.0</v>
      </c>
      <c r="D222" s="6">
        <v>425.0</v>
      </c>
      <c r="E222" s="6">
        <f t="shared" si="1"/>
        <v>2550</v>
      </c>
      <c r="F222" s="5" t="s">
        <v>27</v>
      </c>
      <c r="G222" s="5" t="s">
        <v>57</v>
      </c>
      <c r="H222" s="5" t="s">
        <v>13</v>
      </c>
      <c r="I222" s="7">
        <f>ROUND(E222*0.288,2)</f>
        <v>734.4</v>
      </c>
    </row>
    <row r="223" ht="15.75" customHeight="1">
      <c r="A223" s="4">
        <v>45314.0</v>
      </c>
      <c r="B223" s="5" t="s">
        <v>30</v>
      </c>
      <c r="C223" s="5">
        <v>2.0</v>
      </c>
      <c r="D223" s="6">
        <v>226.0</v>
      </c>
      <c r="E223" s="6">
        <f t="shared" si="1"/>
        <v>452</v>
      </c>
      <c r="F223" s="5" t="s">
        <v>49</v>
      </c>
      <c r="G223" s="5" t="s">
        <v>65</v>
      </c>
      <c r="H223" s="5" t="s">
        <v>18</v>
      </c>
      <c r="I223" s="7">
        <f>ROUND(E223*0.4967,2)</f>
        <v>224.51</v>
      </c>
    </row>
    <row r="224" ht="15.75" customHeight="1">
      <c r="A224" s="4">
        <v>45570.0</v>
      </c>
      <c r="B224" s="5" t="s">
        <v>24</v>
      </c>
      <c r="C224" s="5">
        <v>9.0</v>
      </c>
      <c r="D224" s="6">
        <v>115.0</v>
      </c>
      <c r="E224" s="6">
        <f t="shared" si="1"/>
        <v>1035</v>
      </c>
      <c r="F224" s="5" t="s">
        <v>16</v>
      </c>
      <c r="G224" s="5" t="s">
        <v>57</v>
      </c>
      <c r="H224" s="5" t="s">
        <v>18</v>
      </c>
      <c r="I224" s="7">
        <f>ROUND(E224*0.3071,2)</f>
        <v>317.85</v>
      </c>
    </row>
    <row r="225" ht="15.75" customHeight="1">
      <c r="A225" s="4">
        <v>45316.0</v>
      </c>
      <c r="B225" s="5" t="s">
        <v>19</v>
      </c>
      <c r="C225" s="5">
        <v>9.0</v>
      </c>
      <c r="D225" s="6">
        <v>150.0</v>
      </c>
      <c r="E225" s="6">
        <f t="shared" si="1"/>
        <v>1350</v>
      </c>
      <c r="F225" s="5" t="s">
        <v>101</v>
      </c>
      <c r="G225" s="5" t="s">
        <v>21</v>
      </c>
      <c r="H225" s="5" t="s">
        <v>18</v>
      </c>
      <c r="I225" s="7">
        <f>ROUND(E225*0.423,2)</f>
        <v>571.05</v>
      </c>
    </row>
    <row r="226" ht="15.75" customHeight="1">
      <c r="A226" s="4">
        <v>45489.0</v>
      </c>
      <c r="B226" s="5" t="s">
        <v>19</v>
      </c>
      <c r="C226" s="5">
        <v>6.0</v>
      </c>
      <c r="D226" s="6">
        <v>298.0</v>
      </c>
      <c r="E226" s="6">
        <f t="shared" si="1"/>
        <v>1788</v>
      </c>
      <c r="F226" s="5" t="s">
        <v>94</v>
      </c>
      <c r="G226" s="5" t="s">
        <v>51</v>
      </c>
      <c r="H226" s="5" t="s">
        <v>26</v>
      </c>
      <c r="I226" s="7">
        <f>ROUND(E226*0.28,2)</f>
        <v>500.64</v>
      </c>
    </row>
    <row r="227" ht="15.75" customHeight="1">
      <c r="A227" s="4">
        <v>45334.0</v>
      </c>
      <c r="B227" s="5" t="s">
        <v>24</v>
      </c>
      <c r="C227" s="5">
        <v>3.0</v>
      </c>
      <c r="D227" s="6">
        <v>272.0</v>
      </c>
      <c r="E227" s="6">
        <f t="shared" si="1"/>
        <v>816</v>
      </c>
      <c r="F227" s="5" t="s">
        <v>103</v>
      </c>
      <c r="G227" s="5" t="s">
        <v>17</v>
      </c>
      <c r="H227" s="5" t="s">
        <v>18</v>
      </c>
      <c r="I227" s="7">
        <f>ROUND(E227*0.2964,2)</f>
        <v>241.86</v>
      </c>
    </row>
    <row r="228" ht="15.75" customHeight="1">
      <c r="A228" s="4">
        <v>45332.0</v>
      </c>
      <c r="B228" s="5" t="s">
        <v>19</v>
      </c>
      <c r="C228" s="5">
        <v>10.0</v>
      </c>
      <c r="D228" s="6">
        <v>223.0</v>
      </c>
      <c r="E228" s="6">
        <f t="shared" si="1"/>
        <v>2230</v>
      </c>
      <c r="F228" s="5" t="s">
        <v>50</v>
      </c>
      <c r="G228" s="5" t="s">
        <v>21</v>
      </c>
      <c r="H228" s="5" t="s">
        <v>13</v>
      </c>
      <c r="I228" s="7">
        <f>ROUND(E228*0.4069,2)</f>
        <v>907.39</v>
      </c>
    </row>
    <row r="229" ht="15.75" customHeight="1">
      <c r="A229" s="4">
        <v>45471.0</v>
      </c>
      <c r="B229" s="5" t="s">
        <v>24</v>
      </c>
      <c r="C229" s="5">
        <v>2.0</v>
      </c>
      <c r="D229" s="6">
        <v>391.0</v>
      </c>
      <c r="E229" s="6">
        <f t="shared" si="1"/>
        <v>782</v>
      </c>
      <c r="F229" s="5" t="s">
        <v>89</v>
      </c>
      <c r="G229" s="5" t="s">
        <v>90</v>
      </c>
      <c r="H229" s="5" t="s">
        <v>18</v>
      </c>
      <c r="I229" s="7">
        <f>ROUND(E229*0.2824,2)</f>
        <v>220.84</v>
      </c>
    </row>
    <row r="230" ht="15.75" customHeight="1">
      <c r="A230" s="4">
        <v>45321.0</v>
      </c>
      <c r="B230" s="5" t="s">
        <v>10</v>
      </c>
      <c r="C230" s="5">
        <v>13.0</v>
      </c>
      <c r="D230" s="6">
        <v>245.0</v>
      </c>
      <c r="E230" s="6">
        <f t="shared" si="1"/>
        <v>3185</v>
      </c>
      <c r="F230" s="5" t="s">
        <v>92</v>
      </c>
      <c r="G230" s="5" t="s">
        <v>45</v>
      </c>
      <c r="H230" s="5" t="s">
        <v>13</v>
      </c>
      <c r="I230" s="7">
        <f>ROUND(E230*0.2428,2)</f>
        <v>773.32</v>
      </c>
    </row>
    <row r="231" ht="15.75" customHeight="1">
      <c r="A231" s="4">
        <v>45603.0</v>
      </c>
      <c r="B231" s="5" t="s">
        <v>24</v>
      </c>
      <c r="C231" s="5">
        <v>2.0</v>
      </c>
      <c r="D231" s="6">
        <v>150.0</v>
      </c>
      <c r="E231" s="6">
        <f t="shared" si="1"/>
        <v>300</v>
      </c>
      <c r="F231" s="5" t="s">
        <v>11</v>
      </c>
      <c r="G231" s="5" t="s">
        <v>51</v>
      </c>
      <c r="H231" s="5" t="s">
        <v>18</v>
      </c>
      <c r="I231" s="7">
        <f>ROUND(E231*0.3149,2)</f>
        <v>94.47</v>
      </c>
    </row>
    <row r="232" ht="15.75" customHeight="1">
      <c r="A232" s="4">
        <v>45582.0</v>
      </c>
      <c r="B232" s="5" t="s">
        <v>10</v>
      </c>
      <c r="C232" s="5">
        <v>20.0</v>
      </c>
      <c r="D232" s="6">
        <v>161.0</v>
      </c>
      <c r="E232" s="6">
        <f t="shared" si="1"/>
        <v>3220</v>
      </c>
      <c r="F232" s="5" t="s">
        <v>72</v>
      </c>
      <c r="G232" s="5" t="s">
        <v>51</v>
      </c>
      <c r="H232" s="5" t="s">
        <v>18</v>
      </c>
      <c r="I232" s="7">
        <f>ROUND(E232*0.3332,2)</f>
        <v>1072.9</v>
      </c>
    </row>
    <row r="233" ht="15.75" customHeight="1">
      <c r="A233" s="4">
        <v>45331.0</v>
      </c>
      <c r="B233" s="5" t="s">
        <v>30</v>
      </c>
      <c r="C233" s="5">
        <v>17.0</v>
      </c>
      <c r="D233" s="6">
        <v>247.0</v>
      </c>
      <c r="E233" s="6">
        <f t="shared" si="1"/>
        <v>4199</v>
      </c>
      <c r="F233" s="5" t="s">
        <v>95</v>
      </c>
      <c r="G233" s="5" t="s">
        <v>29</v>
      </c>
      <c r="H233" s="5" t="s">
        <v>13</v>
      </c>
      <c r="I233" s="7">
        <f>ROUND(E233*0.4882,2)</f>
        <v>2049.95</v>
      </c>
    </row>
    <row r="234" ht="15.75" customHeight="1">
      <c r="A234" s="4">
        <v>45305.0</v>
      </c>
      <c r="B234" s="5" t="s">
        <v>30</v>
      </c>
      <c r="C234" s="5">
        <v>16.0</v>
      </c>
      <c r="D234" s="6">
        <v>307.0</v>
      </c>
      <c r="E234" s="6">
        <f t="shared" si="1"/>
        <v>4912</v>
      </c>
      <c r="F234" s="5" t="s">
        <v>42</v>
      </c>
      <c r="G234" s="5" t="s">
        <v>82</v>
      </c>
      <c r="H234" s="5" t="s">
        <v>18</v>
      </c>
      <c r="I234" s="7">
        <f>ROUND(E234*0.4325,2)</f>
        <v>2124.44</v>
      </c>
    </row>
    <row r="235" ht="15.75" customHeight="1">
      <c r="A235" s="4">
        <v>45652.0</v>
      </c>
      <c r="B235" s="5" t="s">
        <v>24</v>
      </c>
      <c r="C235" s="5">
        <v>7.0</v>
      </c>
      <c r="D235" s="6">
        <v>499.0</v>
      </c>
      <c r="E235" s="6">
        <f t="shared" si="1"/>
        <v>3493</v>
      </c>
      <c r="F235" s="5" t="s">
        <v>98</v>
      </c>
      <c r="G235" s="5" t="s">
        <v>55</v>
      </c>
      <c r="H235" s="5" t="s">
        <v>13</v>
      </c>
      <c r="I235" s="7">
        <f>ROUND(E235*0.2368,2)</f>
        <v>827.14</v>
      </c>
    </row>
    <row r="236" ht="15.75" customHeight="1">
      <c r="A236" s="4">
        <v>45329.0</v>
      </c>
      <c r="B236" s="5" t="s">
        <v>24</v>
      </c>
      <c r="C236" s="5">
        <v>6.0</v>
      </c>
      <c r="D236" s="6">
        <v>459.0</v>
      </c>
      <c r="E236" s="6">
        <f t="shared" si="1"/>
        <v>2754</v>
      </c>
      <c r="F236" s="5" t="s">
        <v>72</v>
      </c>
      <c r="G236" s="5" t="s">
        <v>15</v>
      </c>
      <c r="H236" s="5" t="s">
        <v>26</v>
      </c>
      <c r="I236" s="7">
        <f>ROUND(E236*0.4903,2)</f>
        <v>1350.29</v>
      </c>
    </row>
    <row r="237" ht="15.75" customHeight="1">
      <c r="A237" s="4">
        <v>45455.0</v>
      </c>
      <c r="B237" s="5" t="s">
        <v>19</v>
      </c>
      <c r="C237" s="5">
        <v>3.0</v>
      </c>
      <c r="D237" s="6">
        <v>320.0</v>
      </c>
      <c r="E237" s="6">
        <f t="shared" si="1"/>
        <v>960</v>
      </c>
      <c r="F237" s="5" t="s">
        <v>98</v>
      </c>
      <c r="G237" s="5" t="s">
        <v>47</v>
      </c>
      <c r="H237" s="5" t="s">
        <v>13</v>
      </c>
      <c r="I237" s="7">
        <f>ROUND(E237*0.4135,2)</f>
        <v>396.96</v>
      </c>
    </row>
    <row r="238" ht="15.75" customHeight="1">
      <c r="A238" s="4">
        <v>45650.0</v>
      </c>
      <c r="B238" s="5" t="s">
        <v>30</v>
      </c>
      <c r="C238" s="5">
        <v>12.0</v>
      </c>
      <c r="D238" s="6">
        <v>304.0</v>
      </c>
      <c r="E238" s="6">
        <f t="shared" si="1"/>
        <v>3648</v>
      </c>
      <c r="F238" s="5" t="s">
        <v>105</v>
      </c>
      <c r="G238" s="5" t="s">
        <v>57</v>
      </c>
      <c r="H238" s="5" t="s">
        <v>13</v>
      </c>
      <c r="I238" s="7">
        <f>ROUND(E238*0.271,2)</f>
        <v>988.61</v>
      </c>
    </row>
    <row r="239" ht="15.75" customHeight="1">
      <c r="A239" s="4">
        <v>45544.0</v>
      </c>
      <c r="B239" s="5" t="s">
        <v>10</v>
      </c>
      <c r="C239" s="5">
        <v>12.0</v>
      </c>
      <c r="D239" s="6">
        <v>322.0</v>
      </c>
      <c r="E239" s="6">
        <f t="shared" si="1"/>
        <v>3864</v>
      </c>
      <c r="F239" s="5" t="s">
        <v>101</v>
      </c>
      <c r="G239" s="5" t="s">
        <v>57</v>
      </c>
      <c r="H239" s="5" t="s">
        <v>26</v>
      </c>
      <c r="I239" s="7">
        <f>ROUND(E239*0.2389,2)</f>
        <v>923.11</v>
      </c>
    </row>
    <row r="240" ht="15.75" customHeight="1">
      <c r="A240" s="4">
        <v>45336.0</v>
      </c>
      <c r="B240" s="5" t="s">
        <v>10</v>
      </c>
      <c r="C240" s="5">
        <v>10.0</v>
      </c>
      <c r="D240" s="6">
        <v>259.0</v>
      </c>
      <c r="E240" s="6">
        <f t="shared" si="1"/>
        <v>2590</v>
      </c>
      <c r="F240" s="5" t="s">
        <v>67</v>
      </c>
      <c r="G240" s="5" t="s">
        <v>85</v>
      </c>
      <c r="H240" s="5" t="s">
        <v>26</v>
      </c>
      <c r="I240" s="7">
        <f>ROUND(E240*0.3232,2)</f>
        <v>837.09</v>
      </c>
    </row>
    <row r="241" ht="15.75" customHeight="1">
      <c r="A241" s="4">
        <v>45501.0</v>
      </c>
      <c r="B241" s="5" t="s">
        <v>10</v>
      </c>
      <c r="C241" s="5">
        <v>5.0</v>
      </c>
      <c r="D241" s="6">
        <v>489.0</v>
      </c>
      <c r="E241" s="6">
        <f t="shared" si="1"/>
        <v>2445</v>
      </c>
      <c r="F241" s="5" t="s">
        <v>16</v>
      </c>
      <c r="G241" s="5" t="s">
        <v>69</v>
      </c>
      <c r="H241" s="5" t="s">
        <v>18</v>
      </c>
      <c r="I241" s="7">
        <f>ROUND(E241*0.3397,2)</f>
        <v>830.57</v>
      </c>
    </row>
    <row r="242" ht="15.75" customHeight="1">
      <c r="A242" s="4">
        <v>45556.0</v>
      </c>
      <c r="B242" s="5" t="s">
        <v>19</v>
      </c>
      <c r="C242" s="5">
        <v>5.0</v>
      </c>
      <c r="D242" s="6">
        <v>451.0</v>
      </c>
      <c r="E242" s="6">
        <f t="shared" si="1"/>
        <v>2255</v>
      </c>
      <c r="F242" s="5" t="s">
        <v>34</v>
      </c>
      <c r="G242" s="5" t="s">
        <v>38</v>
      </c>
      <c r="H242" s="5" t="s">
        <v>26</v>
      </c>
      <c r="I242" s="7">
        <f>ROUND(E242*0.3763,2)</f>
        <v>848.56</v>
      </c>
    </row>
    <row r="243" ht="15.75" customHeight="1">
      <c r="A243" s="4">
        <v>45358.0</v>
      </c>
      <c r="B243" s="5" t="s">
        <v>24</v>
      </c>
      <c r="C243" s="5">
        <v>17.0</v>
      </c>
      <c r="D243" s="6">
        <v>464.0</v>
      </c>
      <c r="E243" s="6">
        <f t="shared" si="1"/>
        <v>7888</v>
      </c>
      <c r="F243" s="5" t="s">
        <v>74</v>
      </c>
      <c r="G243" s="5" t="s">
        <v>82</v>
      </c>
      <c r="H243" s="5" t="s">
        <v>26</v>
      </c>
      <c r="I243" s="7">
        <f>ROUND(E243*0.2459,2)</f>
        <v>1939.66</v>
      </c>
    </row>
    <row r="244" ht="15.75" customHeight="1">
      <c r="A244" s="4">
        <v>45376.0</v>
      </c>
      <c r="B244" s="5" t="s">
        <v>30</v>
      </c>
      <c r="C244" s="5">
        <v>11.0</v>
      </c>
      <c r="D244" s="6">
        <v>474.0</v>
      </c>
      <c r="E244" s="6">
        <f t="shared" si="1"/>
        <v>5214</v>
      </c>
      <c r="F244" s="5" t="s">
        <v>39</v>
      </c>
      <c r="G244" s="5" t="s">
        <v>23</v>
      </c>
      <c r="H244" s="5" t="s">
        <v>26</v>
      </c>
      <c r="I244" s="7">
        <f>ROUND(E244*0.4685,2)</f>
        <v>2442.76</v>
      </c>
    </row>
    <row r="245" ht="15.75" customHeight="1">
      <c r="A245" s="4">
        <v>45332.0</v>
      </c>
      <c r="B245" s="5" t="s">
        <v>19</v>
      </c>
      <c r="C245" s="5">
        <v>7.0</v>
      </c>
      <c r="D245" s="6">
        <v>354.0</v>
      </c>
      <c r="E245" s="6">
        <f t="shared" si="1"/>
        <v>2478</v>
      </c>
      <c r="F245" s="5" t="s">
        <v>42</v>
      </c>
      <c r="G245" s="5" t="s">
        <v>29</v>
      </c>
      <c r="H245" s="5" t="s">
        <v>13</v>
      </c>
      <c r="I245" s="7">
        <f>ROUND(E245*0.3875,2)</f>
        <v>960.23</v>
      </c>
    </row>
    <row r="246" ht="15.75" customHeight="1">
      <c r="A246" s="4">
        <v>45606.0</v>
      </c>
      <c r="B246" s="5" t="s">
        <v>10</v>
      </c>
      <c r="C246" s="5">
        <v>17.0</v>
      </c>
      <c r="D246" s="6">
        <v>356.0</v>
      </c>
      <c r="E246" s="6">
        <f t="shared" si="1"/>
        <v>6052</v>
      </c>
      <c r="F246" s="5" t="s">
        <v>99</v>
      </c>
      <c r="G246" s="5" t="s">
        <v>84</v>
      </c>
      <c r="H246" s="5" t="s">
        <v>13</v>
      </c>
      <c r="I246" s="7">
        <f>ROUND(E246*0.2514,2)</f>
        <v>1521.47</v>
      </c>
    </row>
    <row r="247" ht="15.75" customHeight="1">
      <c r="A247" s="4">
        <v>45611.0</v>
      </c>
      <c r="B247" s="5" t="s">
        <v>19</v>
      </c>
      <c r="C247" s="5">
        <v>19.0</v>
      </c>
      <c r="D247" s="6">
        <v>116.0</v>
      </c>
      <c r="E247" s="6">
        <f t="shared" si="1"/>
        <v>2204</v>
      </c>
      <c r="F247" s="5" t="s">
        <v>14</v>
      </c>
      <c r="G247" s="5" t="s">
        <v>15</v>
      </c>
      <c r="H247" s="5" t="s">
        <v>13</v>
      </c>
      <c r="I247" s="7">
        <f>ROUND(E247*0.4846,2)</f>
        <v>1068.06</v>
      </c>
    </row>
    <row r="248" ht="15.75" customHeight="1">
      <c r="A248" s="4">
        <v>45587.0</v>
      </c>
      <c r="B248" s="5" t="s">
        <v>19</v>
      </c>
      <c r="C248" s="5">
        <v>7.0</v>
      </c>
      <c r="D248" s="6">
        <v>407.0</v>
      </c>
      <c r="E248" s="6">
        <f t="shared" si="1"/>
        <v>2849</v>
      </c>
      <c r="F248" s="5" t="s">
        <v>56</v>
      </c>
      <c r="G248" s="5" t="s">
        <v>90</v>
      </c>
      <c r="H248" s="5" t="s">
        <v>26</v>
      </c>
      <c r="I248" s="7">
        <f>ROUND(E248*0.2091,2)</f>
        <v>595.73</v>
      </c>
    </row>
    <row r="249" ht="15.75" customHeight="1">
      <c r="A249" s="4">
        <v>45613.0</v>
      </c>
      <c r="B249" s="5" t="s">
        <v>19</v>
      </c>
      <c r="C249" s="5">
        <v>10.0</v>
      </c>
      <c r="D249" s="6">
        <v>293.0</v>
      </c>
      <c r="E249" s="6">
        <f t="shared" si="1"/>
        <v>2930</v>
      </c>
      <c r="F249" s="5" t="s">
        <v>41</v>
      </c>
      <c r="G249" s="5" t="s">
        <v>61</v>
      </c>
      <c r="H249" s="5" t="s">
        <v>18</v>
      </c>
      <c r="I249" s="7">
        <f>ROUND(E249*0.3361,2)</f>
        <v>984.77</v>
      </c>
    </row>
    <row r="250" ht="15.75" customHeight="1">
      <c r="A250" s="4">
        <v>45644.0</v>
      </c>
      <c r="B250" s="5" t="s">
        <v>10</v>
      </c>
      <c r="C250" s="5">
        <v>6.0</v>
      </c>
      <c r="D250" s="6">
        <v>276.0</v>
      </c>
      <c r="E250" s="6">
        <f t="shared" si="1"/>
        <v>1656</v>
      </c>
      <c r="F250" s="5" t="s">
        <v>64</v>
      </c>
      <c r="G250" s="5" t="s">
        <v>57</v>
      </c>
      <c r="H250" s="5" t="s">
        <v>13</v>
      </c>
      <c r="I250" s="7">
        <f>ROUND(E250*0.3021,2)</f>
        <v>500.28</v>
      </c>
    </row>
    <row r="251" ht="15.75" customHeight="1">
      <c r="A251" s="4">
        <v>45365.0</v>
      </c>
      <c r="B251" s="5" t="s">
        <v>19</v>
      </c>
      <c r="C251" s="5">
        <v>11.0</v>
      </c>
      <c r="D251" s="6">
        <v>394.0</v>
      </c>
      <c r="E251" s="6">
        <f t="shared" si="1"/>
        <v>4334</v>
      </c>
      <c r="F251" s="5" t="s">
        <v>89</v>
      </c>
      <c r="G251" s="5" t="s">
        <v>61</v>
      </c>
      <c r="H251" s="5" t="s">
        <v>13</v>
      </c>
      <c r="I251" s="7">
        <f>ROUND(E251*0.4282,2)</f>
        <v>1855.82</v>
      </c>
    </row>
    <row r="252" ht="15.75" customHeight="1">
      <c r="A252" s="4">
        <v>45555.0</v>
      </c>
      <c r="B252" s="5" t="s">
        <v>10</v>
      </c>
      <c r="C252" s="5">
        <v>11.0</v>
      </c>
      <c r="D252" s="6">
        <v>197.0</v>
      </c>
      <c r="E252" s="6">
        <f t="shared" si="1"/>
        <v>2167</v>
      </c>
      <c r="F252" s="5" t="s">
        <v>105</v>
      </c>
      <c r="G252" s="5" t="s">
        <v>29</v>
      </c>
      <c r="H252" s="5" t="s">
        <v>18</v>
      </c>
      <c r="I252" s="7">
        <f>ROUND(E252*0.2744,2)</f>
        <v>594.62</v>
      </c>
    </row>
    <row r="253" ht="15.75" customHeight="1">
      <c r="A253" s="4">
        <v>45341.0</v>
      </c>
      <c r="B253" s="5" t="s">
        <v>10</v>
      </c>
      <c r="C253" s="5">
        <v>10.0</v>
      </c>
      <c r="D253" s="6">
        <v>478.0</v>
      </c>
      <c r="E253" s="6">
        <f t="shared" si="1"/>
        <v>4780</v>
      </c>
      <c r="F253" s="5" t="s">
        <v>66</v>
      </c>
      <c r="G253" s="5" t="s">
        <v>77</v>
      </c>
      <c r="H253" s="5" t="s">
        <v>13</v>
      </c>
      <c r="I253" s="7">
        <f>ROUND(E253*0.4888,2)</f>
        <v>2336.46</v>
      </c>
    </row>
    <row r="254" ht="15.75" customHeight="1">
      <c r="A254" s="4">
        <v>45373.0</v>
      </c>
      <c r="B254" s="5" t="s">
        <v>19</v>
      </c>
      <c r="C254" s="5">
        <v>19.0</v>
      </c>
      <c r="D254" s="6">
        <v>388.0</v>
      </c>
      <c r="E254" s="6">
        <f t="shared" si="1"/>
        <v>7372</v>
      </c>
      <c r="F254" s="5" t="s">
        <v>100</v>
      </c>
      <c r="G254" s="5" t="s">
        <v>45</v>
      </c>
      <c r="H254" s="5" t="s">
        <v>18</v>
      </c>
      <c r="I254" s="7">
        <f>ROUND(E254*0.4988,2)</f>
        <v>3677.15</v>
      </c>
    </row>
    <row r="255" ht="15.75" customHeight="1">
      <c r="A255" s="4">
        <v>45531.0</v>
      </c>
      <c r="B255" s="5" t="s">
        <v>24</v>
      </c>
      <c r="C255" s="5">
        <v>10.0</v>
      </c>
      <c r="D255" s="6">
        <v>299.0</v>
      </c>
      <c r="E255" s="6">
        <f t="shared" si="1"/>
        <v>2990</v>
      </c>
      <c r="F255" s="5" t="s">
        <v>96</v>
      </c>
      <c r="G255" s="5" t="s">
        <v>61</v>
      </c>
      <c r="H255" s="5" t="s">
        <v>26</v>
      </c>
      <c r="I255" s="7">
        <f>ROUND(E255*0.3372,2)</f>
        <v>1008.23</v>
      </c>
    </row>
    <row r="256" ht="15.75" customHeight="1">
      <c r="A256" s="4">
        <v>45415.0</v>
      </c>
      <c r="B256" s="5" t="s">
        <v>30</v>
      </c>
      <c r="C256" s="5">
        <v>19.0</v>
      </c>
      <c r="D256" s="6">
        <v>241.0</v>
      </c>
      <c r="E256" s="6">
        <f t="shared" si="1"/>
        <v>4579</v>
      </c>
      <c r="F256" s="5" t="s">
        <v>74</v>
      </c>
      <c r="G256" s="5" t="s">
        <v>63</v>
      </c>
      <c r="H256" s="5" t="s">
        <v>18</v>
      </c>
      <c r="I256" s="7">
        <f>ROUND(E256*0.3793,2)</f>
        <v>1736.81</v>
      </c>
    </row>
    <row r="257" ht="15.75" customHeight="1">
      <c r="A257" s="4">
        <v>45626.0</v>
      </c>
      <c r="B257" s="5" t="s">
        <v>24</v>
      </c>
      <c r="C257" s="5">
        <v>10.0</v>
      </c>
      <c r="D257" s="6">
        <v>315.0</v>
      </c>
      <c r="E257" s="6">
        <f t="shared" si="1"/>
        <v>3150</v>
      </c>
      <c r="F257" s="5" t="s">
        <v>22</v>
      </c>
      <c r="G257" s="5" t="s">
        <v>21</v>
      </c>
      <c r="H257" s="5" t="s">
        <v>13</v>
      </c>
      <c r="I257" s="7">
        <f>ROUND(E257*0.4647,2)</f>
        <v>1463.81</v>
      </c>
    </row>
    <row r="258" ht="15.75" customHeight="1">
      <c r="A258" s="4">
        <v>45479.0</v>
      </c>
      <c r="B258" s="5" t="s">
        <v>24</v>
      </c>
      <c r="C258" s="5">
        <v>12.0</v>
      </c>
      <c r="D258" s="6">
        <v>118.0</v>
      </c>
      <c r="E258" s="6">
        <f t="shared" si="1"/>
        <v>1416</v>
      </c>
      <c r="F258" s="5" t="s">
        <v>74</v>
      </c>
      <c r="G258" s="5" t="s">
        <v>87</v>
      </c>
      <c r="H258" s="5" t="s">
        <v>26</v>
      </c>
      <c r="I258" s="7">
        <f>ROUND(E258*0.2584,2)</f>
        <v>365.89</v>
      </c>
    </row>
    <row r="259" ht="15.75" customHeight="1">
      <c r="A259" s="4">
        <v>45575.0</v>
      </c>
      <c r="B259" s="5" t="s">
        <v>19</v>
      </c>
      <c r="C259" s="5">
        <v>3.0</v>
      </c>
      <c r="D259" s="6">
        <v>255.0</v>
      </c>
      <c r="E259" s="6">
        <f t="shared" si="1"/>
        <v>765</v>
      </c>
      <c r="F259" s="5" t="s">
        <v>72</v>
      </c>
      <c r="G259" s="5" t="s">
        <v>38</v>
      </c>
      <c r="H259" s="5" t="s">
        <v>18</v>
      </c>
      <c r="I259" s="7">
        <f>ROUND(E259*0.4476,2)</f>
        <v>342.41</v>
      </c>
    </row>
    <row r="260" ht="15.75" customHeight="1">
      <c r="A260" s="4">
        <v>45611.0</v>
      </c>
      <c r="B260" s="5" t="s">
        <v>10</v>
      </c>
      <c r="C260" s="5">
        <v>5.0</v>
      </c>
      <c r="D260" s="6">
        <v>490.0</v>
      </c>
      <c r="E260" s="6">
        <f t="shared" si="1"/>
        <v>2450</v>
      </c>
      <c r="F260" s="5" t="s">
        <v>80</v>
      </c>
      <c r="G260" s="5" t="s">
        <v>51</v>
      </c>
      <c r="H260" s="5" t="s">
        <v>18</v>
      </c>
      <c r="I260" s="7">
        <f>ROUND(E260*0.3673,2)</f>
        <v>899.89</v>
      </c>
    </row>
    <row r="261" ht="15.75" customHeight="1">
      <c r="A261" s="4">
        <v>45479.0</v>
      </c>
      <c r="B261" s="5" t="s">
        <v>30</v>
      </c>
      <c r="C261" s="5">
        <v>7.0</v>
      </c>
      <c r="D261" s="6">
        <v>341.0</v>
      </c>
      <c r="E261" s="6">
        <f t="shared" si="1"/>
        <v>2387</v>
      </c>
      <c r="F261" s="5" t="s">
        <v>80</v>
      </c>
      <c r="G261" s="5" t="s">
        <v>65</v>
      </c>
      <c r="H261" s="5" t="s">
        <v>13</v>
      </c>
      <c r="I261" s="7">
        <f>ROUND(E261*0.2136,2)</f>
        <v>509.86</v>
      </c>
    </row>
    <row r="262" ht="15.75" customHeight="1">
      <c r="A262" s="4">
        <v>45362.0</v>
      </c>
      <c r="B262" s="5" t="s">
        <v>19</v>
      </c>
      <c r="C262" s="5">
        <v>16.0</v>
      </c>
      <c r="D262" s="6">
        <v>308.0</v>
      </c>
      <c r="E262" s="6">
        <f t="shared" si="1"/>
        <v>4928</v>
      </c>
      <c r="F262" s="5" t="s">
        <v>86</v>
      </c>
      <c r="G262" s="5" t="s">
        <v>93</v>
      </c>
      <c r="H262" s="5" t="s">
        <v>26</v>
      </c>
      <c r="I262" s="7">
        <f>ROUND(E262*0.2419,2)</f>
        <v>1192.08</v>
      </c>
    </row>
    <row r="263" ht="15.75" customHeight="1">
      <c r="A263" s="4">
        <v>45605.0</v>
      </c>
      <c r="B263" s="5" t="s">
        <v>19</v>
      </c>
      <c r="C263" s="5">
        <v>6.0</v>
      </c>
      <c r="D263" s="6">
        <v>257.0</v>
      </c>
      <c r="E263" s="6">
        <f t="shared" si="1"/>
        <v>1542</v>
      </c>
      <c r="F263" s="5" t="s">
        <v>66</v>
      </c>
      <c r="G263" s="5" t="s">
        <v>47</v>
      </c>
      <c r="H263" s="5" t="s">
        <v>26</v>
      </c>
      <c r="I263" s="7">
        <f>ROUND(E263*0.3009,2)</f>
        <v>463.99</v>
      </c>
    </row>
    <row r="264" ht="15.75" customHeight="1">
      <c r="A264" s="4">
        <v>45552.0</v>
      </c>
      <c r="B264" s="5" t="s">
        <v>24</v>
      </c>
      <c r="C264" s="5">
        <v>19.0</v>
      </c>
      <c r="D264" s="6">
        <v>220.0</v>
      </c>
      <c r="E264" s="6">
        <f t="shared" si="1"/>
        <v>4180</v>
      </c>
      <c r="F264" s="5" t="s">
        <v>14</v>
      </c>
      <c r="G264" s="5" t="s">
        <v>51</v>
      </c>
      <c r="H264" s="5" t="s">
        <v>18</v>
      </c>
      <c r="I264" s="7">
        <f>ROUND(E264*0.4021,2)</f>
        <v>1680.78</v>
      </c>
    </row>
    <row r="265" ht="15.75" customHeight="1">
      <c r="A265" s="4">
        <v>45505.0</v>
      </c>
      <c r="B265" s="5" t="s">
        <v>19</v>
      </c>
      <c r="C265" s="5">
        <v>1.0</v>
      </c>
      <c r="D265" s="6">
        <v>339.0</v>
      </c>
      <c r="E265" s="6">
        <f t="shared" si="1"/>
        <v>339</v>
      </c>
      <c r="F265" s="5" t="s">
        <v>81</v>
      </c>
      <c r="G265" s="5" t="s">
        <v>84</v>
      </c>
      <c r="H265" s="5" t="s">
        <v>26</v>
      </c>
      <c r="I265" s="7">
        <f>ROUND(E265*0.2683,2)</f>
        <v>90.95</v>
      </c>
    </row>
    <row r="266" ht="15.75" customHeight="1">
      <c r="A266" s="4">
        <v>45318.0</v>
      </c>
      <c r="B266" s="5" t="s">
        <v>24</v>
      </c>
      <c r="C266" s="5">
        <v>6.0</v>
      </c>
      <c r="D266" s="6">
        <v>310.0</v>
      </c>
      <c r="E266" s="6">
        <f t="shared" si="1"/>
        <v>1860</v>
      </c>
      <c r="F266" s="5" t="s">
        <v>58</v>
      </c>
      <c r="G266" s="5" t="s">
        <v>90</v>
      </c>
      <c r="H266" s="5" t="s">
        <v>18</v>
      </c>
      <c r="I266" s="7">
        <f>ROUND(E266*0.2443,2)</f>
        <v>454.4</v>
      </c>
    </row>
    <row r="267" ht="15.75" customHeight="1">
      <c r="A267" s="4">
        <v>45640.0</v>
      </c>
      <c r="B267" s="5" t="s">
        <v>30</v>
      </c>
      <c r="C267" s="5">
        <v>2.0</v>
      </c>
      <c r="D267" s="6">
        <v>329.0</v>
      </c>
      <c r="E267" s="6">
        <f t="shared" si="1"/>
        <v>658</v>
      </c>
      <c r="F267" s="5" t="s">
        <v>79</v>
      </c>
      <c r="G267" s="5" t="s">
        <v>82</v>
      </c>
      <c r="H267" s="5" t="s">
        <v>13</v>
      </c>
      <c r="I267" s="7">
        <f>ROUND(E267*0.2057,2)</f>
        <v>135.35</v>
      </c>
    </row>
    <row r="268" ht="15.75" customHeight="1">
      <c r="A268" s="4">
        <v>45452.0</v>
      </c>
      <c r="B268" s="5" t="s">
        <v>24</v>
      </c>
      <c r="C268" s="5">
        <v>5.0</v>
      </c>
      <c r="D268" s="6">
        <v>265.0</v>
      </c>
      <c r="E268" s="6">
        <f t="shared" si="1"/>
        <v>1325</v>
      </c>
      <c r="F268" s="5" t="s">
        <v>60</v>
      </c>
      <c r="G268" s="5" t="s">
        <v>77</v>
      </c>
      <c r="H268" s="5" t="s">
        <v>26</v>
      </c>
      <c r="I268" s="7">
        <f>ROUND(E268*0.4325,2)</f>
        <v>573.06</v>
      </c>
    </row>
    <row r="269" ht="15.75" customHeight="1">
      <c r="A269" s="4">
        <v>45533.0</v>
      </c>
      <c r="B269" s="5" t="s">
        <v>10</v>
      </c>
      <c r="C269" s="5">
        <v>5.0</v>
      </c>
      <c r="D269" s="6">
        <v>307.0</v>
      </c>
      <c r="E269" s="6">
        <f t="shared" si="1"/>
        <v>1535</v>
      </c>
      <c r="F269" s="5" t="s">
        <v>42</v>
      </c>
      <c r="G269" s="5" t="s">
        <v>37</v>
      </c>
      <c r="H269" s="5" t="s">
        <v>26</v>
      </c>
      <c r="I269" s="7">
        <f>ROUND(E269*0.3435,2)</f>
        <v>527.27</v>
      </c>
    </row>
    <row r="270" ht="15.75" customHeight="1">
      <c r="A270" s="4">
        <v>45484.0</v>
      </c>
      <c r="B270" s="5" t="s">
        <v>19</v>
      </c>
      <c r="C270" s="5">
        <v>6.0</v>
      </c>
      <c r="D270" s="6">
        <v>284.0</v>
      </c>
      <c r="E270" s="6">
        <f t="shared" si="1"/>
        <v>1704</v>
      </c>
      <c r="F270" s="5" t="s">
        <v>32</v>
      </c>
      <c r="G270" s="5" t="s">
        <v>73</v>
      </c>
      <c r="H270" s="5" t="s">
        <v>26</v>
      </c>
      <c r="I270" s="7">
        <f>ROUND(E270*0.3063,2)</f>
        <v>521.94</v>
      </c>
    </row>
    <row r="271" ht="15.75" customHeight="1">
      <c r="A271" s="4">
        <v>45640.0</v>
      </c>
      <c r="B271" s="5" t="s">
        <v>19</v>
      </c>
      <c r="C271" s="5">
        <v>20.0</v>
      </c>
      <c r="D271" s="6">
        <v>294.0</v>
      </c>
      <c r="E271" s="6">
        <f t="shared" si="1"/>
        <v>5880</v>
      </c>
      <c r="F271" s="5" t="s">
        <v>11</v>
      </c>
      <c r="G271" s="5" t="s">
        <v>29</v>
      </c>
      <c r="H271" s="5" t="s">
        <v>26</v>
      </c>
      <c r="I271" s="7">
        <f>ROUND(E271*0.2895,2)</f>
        <v>1702.26</v>
      </c>
    </row>
    <row r="272" ht="15.75" customHeight="1">
      <c r="A272" s="4">
        <v>45444.0</v>
      </c>
      <c r="B272" s="5" t="s">
        <v>19</v>
      </c>
      <c r="C272" s="5">
        <v>7.0</v>
      </c>
      <c r="D272" s="6">
        <v>376.0</v>
      </c>
      <c r="E272" s="6">
        <f t="shared" si="1"/>
        <v>2632</v>
      </c>
      <c r="F272" s="5" t="s">
        <v>94</v>
      </c>
      <c r="G272" s="5" t="s">
        <v>37</v>
      </c>
      <c r="H272" s="5" t="s">
        <v>18</v>
      </c>
      <c r="I272" s="7">
        <f>ROUND(E272*0.3046,2)</f>
        <v>801.71</v>
      </c>
    </row>
    <row r="273" ht="15.75" customHeight="1">
      <c r="A273" s="4">
        <v>45432.0</v>
      </c>
      <c r="B273" s="5" t="s">
        <v>19</v>
      </c>
      <c r="C273" s="5">
        <v>4.0</v>
      </c>
      <c r="D273" s="6">
        <v>329.0</v>
      </c>
      <c r="E273" s="6">
        <f t="shared" si="1"/>
        <v>1316</v>
      </c>
      <c r="F273" s="5" t="s">
        <v>32</v>
      </c>
      <c r="G273" s="5" t="s">
        <v>91</v>
      </c>
      <c r="H273" s="5" t="s">
        <v>18</v>
      </c>
      <c r="I273" s="7">
        <f>ROUND(E273*0.4455,2)</f>
        <v>586.28</v>
      </c>
    </row>
    <row r="274" ht="15.75" customHeight="1">
      <c r="A274" s="4">
        <v>45366.0</v>
      </c>
      <c r="B274" s="5" t="s">
        <v>19</v>
      </c>
      <c r="C274" s="5">
        <v>2.0</v>
      </c>
      <c r="D274" s="6">
        <v>215.0</v>
      </c>
      <c r="E274" s="6">
        <f t="shared" si="1"/>
        <v>430</v>
      </c>
      <c r="F274" s="5" t="s">
        <v>67</v>
      </c>
      <c r="G274" s="5" t="s">
        <v>15</v>
      </c>
      <c r="H274" s="5" t="s">
        <v>18</v>
      </c>
      <c r="I274" s="7">
        <f>ROUND(E274*0.4772,2)</f>
        <v>205.2</v>
      </c>
    </row>
    <row r="275" ht="15.75" customHeight="1">
      <c r="A275" s="4">
        <v>45627.0</v>
      </c>
      <c r="B275" s="5" t="s">
        <v>19</v>
      </c>
      <c r="C275" s="5">
        <v>16.0</v>
      </c>
      <c r="D275" s="6">
        <v>186.0</v>
      </c>
      <c r="E275" s="6">
        <f t="shared" si="1"/>
        <v>2976</v>
      </c>
      <c r="F275" s="5" t="s">
        <v>32</v>
      </c>
      <c r="G275" s="5" t="s">
        <v>29</v>
      </c>
      <c r="H275" s="5" t="s">
        <v>26</v>
      </c>
      <c r="I275" s="7">
        <f>ROUND(E275*0.4089,2)</f>
        <v>1216.89</v>
      </c>
    </row>
    <row r="276" ht="15.75" customHeight="1">
      <c r="A276" s="4">
        <v>45362.0</v>
      </c>
      <c r="B276" s="5" t="s">
        <v>10</v>
      </c>
      <c r="C276" s="5">
        <v>20.0</v>
      </c>
      <c r="D276" s="6">
        <v>396.0</v>
      </c>
      <c r="E276" s="6">
        <f t="shared" si="1"/>
        <v>7920</v>
      </c>
      <c r="F276" s="5" t="s">
        <v>11</v>
      </c>
      <c r="G276" s="5" t="s">
        <v>33</v>
      </c>
      <c r="H276" s="5" t="s">
        <v>13</v>
      </c>
      <c r="I276" s="7">
        <f>ROUND(E276*0.401,2)</f>
        <v>3175.92</v>
      </c>
    </row>
    <row r="277" ht="15.75" customHeight="1">
      <c r="A277" s="4">
        <v>45563.0</v>
      </c>
      <c r="B277" s="5" t="s">
        <v>30</v>
      </c>
      <c r="C277" s="5">
        <v>8.0</v>
      </c>
      <c r="D277" s="6">
        <v>121.0</v>
      </c>
      <c r="E277" s="6">
        <f t="shared" si="1"/>
        <v>968</v>
      </c>
      <c r="F277" s="5" t="s">
        <v>56</v>
      </c>
      <c r="G277" s="5" t="s">
        <v>73</v>
      </c>
      <c r="H277" s="5" t="s">
        <v>26</v>
      </c>
      <c r="I277" s="7">
        <f>ROUND(E277*0.3417,2)</f>
        <v>330.77</v>
      </c>
    </row>
    <row r="278" ht="15.75" customHeight="1">
      <c r="A278" s="4">
        <v>45640.0</v>
      </c>
      <c r="B278" s="5" t="s">
        <v>30</v>
      </c>
      <c r="C278" s="5">
        <v>1.0</v>
      </c>
      <c r="D278" s="6">
        <v>486.0</v>
      </c>
      <c r="E278" s="6">
        <f t="shared" si="1"/>
        <v>486</v>
      </c>
      <c r="F278" s="5" t="s">
        <v>20</v>
      </c>
      <c r="G278" s="5" t="s">
        <v>77</v>
      </c>
      <c r="H278" s="5" t="s">
        <v>26</v>
      </c>
      <c r="I278" s="7">
        <f>ROUND(E278*0.4805,2)</f>
        <v>233.52</v>
      </c>
    </row>
    <row r="279" ht="15.75" customHeight="1">
      <c r="A279" s="4">
        <v>45535.0</v>
      </c>
      <c r="B279" s="5" t="s">
        <v>24</v>
      </c>
      <c r="C279" s="5">
        <v>7.0</v>
      </c>
      <c r="D279" s="6">
        <v>402.0</v>
      </c>
      <c r="E279" s="6">
        <f t="shared" si="1"/>
        <v>2814</v>
      </c>
      <c r="F279" s="5" t="s">
        <v>98</v>
      </c>
      <c r="G279" s="5" t="s">
        <v>37</v>
      </c>
      <c r="H279" s="5" t="s">
        <v>18</v>
      </c>
      <c r="I279" s="7">
        <f>ROUND(E279*0.3938,2)</f>
        <v>1108.15</v>
      </c>
    </row>
    <row r="280" ht="15.75" customHeight="1">
      <c r="A280" s="4">
        <v>45337.0</v>
      </c>
      <c r="B280" s="5" t="s">
        <v>30</v>
      </c>
      <c r="C280" s="5">
        <v>18.0</v>
      </c>
      <c r="D280" s="6">
        <v>395.0</v>
      </c>
      <c r="E280" s="6">
        <f t="shared" si="1"/>
        <v>7110</v>
      </c>
      <c r="F280" s="5" t="s">
        <v>102</v>
      </c>
      <c r="G280" s="5" t="s">
        <v>78</v>
      </c>
      <c r="H280" s="5" t="s">
        <v>18</v>
      </c>
      <c r="I280" s="7">
        <f>ROUND(E280*0.4647,2)</f>
        <v>3304.02</v>
      </c>
    </row>
    <row r="281" ht="15.75" customHeight="1">
      <c r="A281" s="4">
        <v>45382.0</v>
      </c>
      <c r="B281" s="5" t="s">
        <v>10</v>
      </c>
      <c r="C281" s="5">
        <v>13.0</v>
      </c>
      <c r="D281" s="6">
        <v>415.0</v>
      </c>
      <c r="E281" s="6">
        <f t="shared" si="1"/>
        <v>5395</v>
      </c>
      <c r="F281" s="5" t="s">
        <v>103</v>
      </c>
      <c r="G281" s="5" t="s">
        <v>63</v>
      </c>
      <c r="H281" s="5" t="s">
        <v>13</v>
      </c>
      <c r="I281" s="7">
        <f>ROUND(E281*0.2028,2)</f>
        <v>1094.11</v>
      </c>
    </row>
    <row r="282" ht="15.75" customHeight="1">
      <c r="A282" s="4">
        <v>45582.0</v>
      </c>
      <c r="B282" s="5" t="s">
        <v>10</v>
      </c>
      <c r="C282" s="5">
        <v>11.0</v>
      </c>
      <c r="D282" s="6">
        <v>214.0</v>
      </c>
      <c r="E282" s="6">
        <f t="shared" si="1"/>
        <v>2354</v>
      </c>
      <c r="F282" s="5" t="s">
        <v>16</v>
      </c>
      <c r="G282" s="5" t="s">
        <v>17</v>
      </c>
      <c r="H282" s="5" t="s">
        <v>26</v>
      </c>
      <c r="I282" s="7">
        <f>ROUND(E282*0.3482,2)</f>
        <v>819.66</v>
      </c>
    </row>
    <row r="283" ht="15.75" customHeight="1">
      <c r="A283" s="4">
        <v>45360.0</v>
      </c>
      <c r="B283" s="5" t="s">
        <v>24</v>
      </c>
      <c r="C283" s="5">
        <v>9.0</v>
      </c>
      <c r="D283" s="6">
        <v>177.0</v>
      </c>
      <c r="E283" s="6">
        <f t="shared" si="1"/>
        <v>1593</v>
      </c>
      <c r="F283" s="5" t="s">
        <v>105</v>
      </c>
      <c r="G283" s="5" t="s">
        <v>73</v>
      </c>
      <c r="H283" s="5" t="s">
        <v>13</v>
      </c>
      <c r="I283" s="7">
        <f>ROUND(E283*0.4193,2)</f>
        <v>667.94</v>
      </c>
    </row>
    <row r="284" ht="15.75" customHeight="1">
      <c r="A284" s="4">
        <v>45623.0</v>
      </c>
      <c r="B284" s="5" t="s">
        <v>19</v>
      </c>
      <c r="C284" s="5">
        <v>6.0</v>
      </c>
      <c r="D284" s="6">
        <v>106.0</v>
      </c>
      <c r="E284" s="6">
        <f t="shared" si="1"/>
        <v>636</v>
      </c>
      <c r="F284" s="5" t="s">
        <v>52</v>
      </c>
      <c r="G284" s="5" t="s">
        <v>63</v>
      </c>
      <c r="H284" s="5" t="s">
        <v>26</v>
      </c>
      <c r="I284" s="7">
        <f>ROUND(E284*0.4023,2)</f>
        <v>255.86</v>
      </c>
    </row>
    <row r="285" ht="15.75" customHeight="1">
      <c r="A285" s="4">
        <v>45390.0</v>
      </c>
      <c r="B285" s="5" t="s">
        <v>30</v>
      </c>
      <c r="C285" s="5">
        <v>20.0</v>
      </c>
      <c r="D285" s="6">
        <v>442.0</v>
      </c>
      <c r="E285" s="6">
        <f t="shared" si="1"/>
        <v>8840</v>
      </c>
      <c r="F285" s="5" t="s">
        <v>80</v>
      </c>
      <c r="G285" s="5" t="s">
        <v>21</v>
      </c>
      <c r="H285" s="5" t="s">
        <v>26</v>
      </c>
      <c r="I285" s="7">
        <f>ROUND(E285*0.2984,2)</f>
        <v>2637.86</v>
      </c>
    </row>
    <row r="286" ht="15.75" customHeight="1">
      <c r="A286" s="4">
        <v>45497.0</v>
      </c>
      <c r="B286" s="5" t="s">
        <v>10</v>
      </c>
      <c r="C286" s="5">
        <v>6.0</v>
      </c>
      <c r="D286" s="6">
        <v>493.0</v>
      </c>
      <c r="E286" s="6">
        <f t="shared" si="1"/>
        <v>2958</v>
      </c>
      <c r="F286" s="5" t="s">
        <v>64</v>
      </c>
      <c r="G286" s="5" t="s">
        <v>37</v>
      </c>
      <c r="H286" s="5" t="s">
        <v>13</v>
      </c>
      <c r="I286" s="7">
        <f>ROUND(E286*0.202,2)</f>
        <v>597.52</v>
      </c>
    </row>
    <row r="287" ht="15.75" customHeight="1">
      <c r="A287" s="4">
        <v>45488.0</v>
      </c>
      <c r="B287" s="5" t="s">
        <v>30</v>
      </c>
      <c r="C287" s="5">
        <v>15.0</v>
      </c>
      <c r="D287" s="6">
        <v>402.0</v>
      </c>
      <c r="E287" s="6">
        <f t="shared" si="1"/>
        <v>6030</v>
      </c>
      <c r="F287" s="5" t="s">
        <v>52</v>
      </c>
      <c r="G287" s="5" t="s">
        <v>47</v>
      </c>
      <c r="H287" s="5" t="s">
        <v>26</v>
      </c>
      <c r="I287" s="7">
        <f>ROUND(E287*0.4169,2)</f>
        <v>2513.91</v>
      </c>
    </row>
    <row r="288" ht="15.75" customHeight="1">
      <c r="A288" s="4">
        <v>45297.0</v>
      </c>
      <c r="B288" s="5" t="s">
        <v>19</v>
      </c>
      <c r="C288" s="5">
        <v>12.0</v>
      </c>
      <c r="D288" s="6">
        <v>377.0</v>
      </c>
      <c r="E288" s="6">
        <f t="shared" si="1"/>
        <v>4524</v>
      </c>
      <c r="F288" s="5" t="s">
        <v>74</v>
      </c>
      <c r="G288" s="5" t="s">
        <v>82</v>
      </c>
      <c r="H288" s="5" t="s">
        <v>18</v>
      </c>
      <c r="I288" s="7">
        <f>ROUND(E288*0.292,2)</f>
        <v>1321.01</v>
      </c>
    </row>
    <row r="289" ht="15.75" customHeight="1">
      <c r="A289" s="4">
        <v>45499.0</v>
      </c>
      <c r="B289" s="5" t="s">
        <v>19</v>
      </c>
      <c r="C289" s="5">
        <v>4.0</v>
      </c>
      <c r="D289" s="6">
        <v>355.0</v>
      </c>
      <c r="E289" s="6">
        <f t="shared" si="1"/>
        <v>1420</v>
      </c>
      <c r="F289" s="5" t="s">
        <v>98</v>
      </c>
      <c r="G289" s="5" t="s">
        <v>51</v>
      </c>
      <c r="H289" s="5" t="s">
        <v>26</v>
      </c>
      <c r="I289" s="7">
        <f>ROUND(E289*0.2663,2)</f>
        <v>378.15</v>
      </c>
    </row>
    <row r="290" ht="15.75" customHeight="1">
      <c r="A290" s="4">
        <v>45360.0</v>
      </c>
      <c r="B290" s="5" t="s">
        <v>24</v>
      </c>
      <c r="C290" s="5">
        <v>5.0</v>
      </c>
      <c r="D290" s="6">
        <v>282.0</v>
      </c>
      <c r="E290" s="6">
        <f t="shared" si="1"/>
        <v>1410</v>
      </c>
      <c r="F290" s="5" t="s">
        <v>50</v>
      </c>
      <c r="G290" s="5" t="s">
        <v>51</v>
      </c>
      <c r="H290" s="5" t="s">
        <v>18</v>
      </c>
      <c r="I290" s="7">
        <f>ROUND(E290*0.4106,2)</f>
        <v>578.95</v>
      </c>
    </row>
    <row r="291" ht="15.75" customHeight="1">
      <c r="A291" s="4">
        <v>45533.0</v>
      </c>
      <c r="B291" s="5" t="s">
        <v>30</v>
      </c>
      <c r="C291" s="5">
        <v>8.0</v>
      </c>
      <c r="D291" s="6">
        <v>372.0</v>
      </c>
      <c r="E291" s="6">
        <f t="shared" si="1"/>
        <v>2976</v>
      </c>
      <c r="F291" s="5" t="s">
        <v>50</v>
      </c>
      <c r="G291" s="5" t="s">
        <v>15</v>
      </c>
      <c r="H291" s="5" t="s">
        <v>26</v>
      </c>
      <c r="I291" s="7">
        <f>ROUND(E291*0.334,2)</f>
        <v>993.98</v>
      </c>
    </row>
    <row r="292" ht="15.75" customHeight="1">
      <c r="A292" s="4">
        <v>45652.0</v>
      </c>
      <c r="B292" s="5" t="s">
        <v>19</v>
      </c>
      <c r="C292" s="5">
        <v>3.0</v>
      </c>
      <c r="D292" s="6">
        <v>467.0</v>
      </c>
      <c r="E292" s="6">
        <f t="shared" si="1"/>
        <v>1401</v>
      </c>
      <c r="F292" s="5" t="s">
        <v>105</v>
      </c>
      <c r="G292" s="5" t="s">
        <v>35</v>
      </c>
      <c r="H292" s="5" t="s">
        <v>26</v>
      </c>
      <c r="I292" s="7">
        <f>ROUND(E292*0.4709,2)</f>
        <v>659.73</v>
      </c>
    </row>
    <row r="293" ht="15.75" customHeight="1">
      <c r="A293" s="4">
        <v>45395.0</v>
      </c>
      <c r="B293" s="5" t="s">
        <v>30</v>
      </c>
      <c r="C293" s="5">
        <v>6.0</v>
      </c>
      <c r="D293" s="6">
        <v>231.0</v>
      </c>
      <c r="E293" s="6">
        <f t="shared" si="1"/>
        <v>1386</v>
      </c>
      <c r="F293" s="5" t="s">
        <v>97</v>
      </c>
      <c r="G293" s="5" t="s">
        <v>88</v>
      </c>
      <c r="H293" s="5" t="s">
        <v>13</v>
      </c>
      <c r="I293" s="7">
        <f>ROUND(E293*0.4041,2)</f>
        <v>560.08</v>
      </c>
    </row>
    <row r="294" ht="15.75" customHeight="1">
      <c r="A294" s="4">
        <v>45590.0</v>
      </c>
      <c r="B294" s="5" t="s">
        <v>24</v>
      </c>
      <c r="C294" s="5">
        <v>3.0</v>
      </c>
      <c r="D294" s="6">
        <v>460.0</v>
      </c>
      <c r="E294" s="6">
        <f t="shared" si="1"/>
        <v>1380</v>
      </c>
      <c r="F294" s="5" t="s">
        <v>72</v>
      </c>
      <c r="G294" s="5" t="s">
        <v>35</v>
      </c>
      <c r="H294" s="5" t="s">
        <v>18</v>
      </c>
      <c r="I294" s="7">
        <f>ROUND(E294*0.2396,2)</f>
        <v>330.65</v>
      </c>
    </row>
    <row r="295" ht="15.75" customHeight="1">
      <c r="A295" s="4">
        <v>45504.0</v>
      </c>
      <c r="B295" s="5" t="s">
        <v>24</v>
      </c>
      <c r="C295" s="5">
        <v>19.0</v>
      </c>
      <c r="D295" s="6">
        <v>123.0</v>
      </c>
      <c r="E295" s="6">
        <f t="shared" si="1"/>
        <v>2337</v>
      </c>
      <c r="F295" s="5" t="s">
        <v>62</v>
      </c>
      <c r="G295" s="5" t="s">
        <v>47</v>
      </c>
      <c r="H295" s="5" t="s">
        <v>26</v>
      </c>
      <c r="I295" s="7">
        <f>ROUND(E295*0.2065,2)</f>
        <v>482.59</v>
      </c>
    </row>
    <row r="296" ht="15.75" customHeight="1">
      <c r="A296" s="4">
        <v>45422.0</v>
      </c>
      <c r="B296" s="5" t="s">
        <v>10</v>
      </c>
      <c r="C296" s="5">
        <v>7.0</v>
      </c>
      <c r="D296" s="6">
        <v>331.0</v>
      </c>
      <c r="E296" s="6">
        <f t="shared" si="1"/>
        <v>2317</v>
      </c>
      <c r="F296" s="5" t="s">
        <v>102</v>
      </c>
      <c r="G296" s="5" t="s">
        <v>21</v>
      </c>
      <c r="H296" s="5" t="s">
        <v>18</v>
      </c>
      <c r="I296" s="7">
        <f>ROUND(E296*0.4101,2)</f>
        <v>950.2</v>
      </c>
    </row>
    <row r="297" ht="15.75" customHeight="1">
      <c r="A297" s="4">
        <v>45569.0</v>
      </c>
      <c r="B297" s="5" t="s">
        <v>10</v>
      </c>
      <c r="C297" s="5">
        <v>3.0</v>
      </c>
      <c r="D297" s="6">
        <v>494.0</v>
      </c>
      <c r="E297" s="6">
        <f t="shared" si="1"/>
        <v>1482</v>
      </c>
      <c r="F297" s="5" t="s">
        <v>64</v>
      </c>
      <c r="G297" s="5" t="s">
        <v>28</v>
      </c>
      <c r="H297" s="5" t="s">
        <v>18</v>
      </c>
      <c r="I297" s="7">
        <f>ROUND(E297*0.3227,2)</f>
        <v>478.24</v>
      </c>
    </row>
    <row r="298" ht="15.75" customHeight="1">
      <c r="A298" s="4">
        <v>45361.0</v>
      </c>
      <c r="B298" s="5" t="s">
        <v>24</v>
      </c>
      <c r="C298" s="5">
        <v>12.0</v>
      </c>
      <c r="D298" s="6">
        <v>497.0</v>
      </c>
      <c r="E298" s="6">
        <f t="shared" si="1"/>
        <v>5964</v>
      </c>
      <c r="F298" s="5" t="s">
        <v>25</v>
      </c>
      <c r="G298" s="5" t="s">
        <v>88</v>
      </c>
      <c r="H298" s="5" t="s">
        <v>18</v>
      </c>
      <c r="I298" s="7">
        <f>ROUND(E298*0.3127,2)</f>
        <v>1864.94</v>
      </c>
    </row>
    <row r="299" ht="15.75" customHeight="1">
      <c r="A299" s="4">
        <v>45641.0</v>
      </c>
      <c r="B299" s="5" t="s">
        <v>30</v>
      </c>
      <c r="C299" s="5">
        <v>12.0</v>
      </c>
      <c r="D299" s="6">
        <v>147.0</v>
      </c>
      <c r="E299" s="6">
        <f t="shared" si="1"/>
        <v>1764</v>
      </c>
      <c r="F299" s="5" t="s">
        <v>32</v>
      </c>
      <c r="G299" s="5" t="s">
        <v>61</v>
      </c>
      <c r="H299" s="5" t="s">
        <v>26</v>
      </c>
      <c r="I299" s="7">
        <f>ROUND(E299*0.2382,2)</f>
        <v>420.18</v>
      </c>
    </row>
    <row r="300" ht="15.75" customHeight="1">
      <c r="A300" s="4">
        <v>45406.0</v>
      </c>
      <c r="B300" s="5" t="s">
        <v>10</v>
      </c>
      <c r="C300" s="5">
        <v>1.0</v>
      </c>
      <c r="D300" s="6">
        <v>491.0</v>
      </c>
      <c r="E300" s="6">
        <f t="shared" si="1"/>
        <v>491</v>
      </c>
      <c r="F300" s="5" t="s">
        <v>62</v>
      </c>
      <c r="G300" s="5" t="s">
        <v>17</v>
      </c>
      <c r="H300" s="5" t="s">
        <v>18</v>
      </c>
      <c r="I300" s="7">
        <f>ROUND(E300*0.3596,2)</f>
        <v>176.56</v>
      </c>
    </row>
    <row r="301" ht="15.75" customHeight="1">
      <c r="A301" s="4">
        <v>45409.0</v>
      </c>
      <c r="B301" s="5" t="s">
        <v>30</v>
      </c>
      <c r="C301" s="5">
        <v>15.0</v>
      </c>
      <c r="D301" s="6">
        <v>238.0</v>
      </c>
      <c r="E301" s="6">
        <f t="shared" si="1"/>
        <v>3570</v>
      </c>
      <c r="F301" s="5" t="s">
        <v>54</v>
      </c>
      <c r="G301" s="5" t="s">
        <v>57</v>
      </c>
      <c r="H301" s="5" t="s">
        <v>26</v>
      </c>
      <c r="I301" s="7">
        <f>ROUND(E301*0.4296,2)</f>
        <v>1533.67</v>
      </c>
    </row>
    <row r="302" ht="15.75" customHeight="1">
      <c r="A302" s="4">
        <v>45308.0</v>
      </c>
      <c r="B302" s="5" t="s">
        <v>24</v>
      </c>
      <c r="C302" s="5">
        <v>20.0</v>
      </c>
      <c r="D302" s="6">
        <v>406.0</v>
      </c>
      <c r="E302" s="6">
        <f t="shared" si="1"/>
        <v>8120</v>
      </c>
      <c r="F302" s="5" t="s">
        <v>14</v>
      </c>
      <c r="G302" s="5" t="s">
        <v>33</v>
      </c>
      <c r="H302" s="5" t="s">
        <v>13</v>
      </c>
      <c r="I302" s="7">
        <f>ROUND(E302*0.2202,2)</f>
        <v>1788.02</v>
      </c>
    </row>
    <row r="303" ht="15.75" customHeight="1">
      <c r="A303" s="4">
        <v>45596.0</v>
      </c>
      <c r="B303" s="5" t="s">
        <v>10</v>
      </c>
      <c r="C303" s="5">
        <v>15.0</v>
      </c>
      <c r="D303" s="6">
        <v>339.0</v>
      </c>
      <c r="E303" s="6">
        <f t="shared" si="1"/>
        <v>5085</v>
      </c>
      <c r="F303" s="5" t="s">
        <v>67</v>
      </c>
      <c r="G303" s="5" t="s">
        <v>35</v>
      </c>
      <c r="H303" s="5" t="s">
        <v>13</v>
      </c>
      <c r="I303" s="7">
        <f>ROUND(E303*0.4222,2)</f>
        <v>2146.89</v>
      </c>
    </row>
    <row r="304" ht="15.75" customHeight="1"/>
    <row r="305" ht="15.75" customHeight="1">
      <c r="A305" s="9" t="s">
        <v>106</v>
      </c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1:I1"/>
  </mergeCells>
  <dataValidations>
    <dataValidation type="list" allowBlank="1" showErrorMessage="1" sqref="B4:B303">
      <formula1>"Product A,Product B,Product C,Product D"</formula1>
    </dataValidation>
    <dataValidation type="list" allowBlank="1" showErrorMessage="1" sqref="H4:H303">
      <formula1>"Cash,Credit Card,Online Payment"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.0"/>
    <col customWidth="1" min="3" max="3" width="19.57"/>
    <col customWidth="1" min="4" max="4" width="18.43"/>
    <col customWidth="1" min="5" max="5" width="20.71"/>
    <col customWidth="1" min="6" max="6" width="17.29"/>
    <col customWidth="1" min="7" max="7" width="18.29"/>
    <col customWidth="1" min="8" max="8" width="18.71"/>
    <col customWidth="1" min="9" max="10" width="19.86"/>
  </cols>
  <sheetData>
    <row r="1" ht="28.5" customHeight="1">
      <c r="A1" s="10" t="s">
        <v>0</v>
      </c>
    </row>
    <row r="2" ht="3.75" customHeight="1"/>
    <row r="3" ht="20.25" customHeight="1">
      <c r="B3" s="11" t="s">
        <v>107</v>
      </c>
      <c r="C3" s="12" t="s">
        <v>108</v>
      </c>
    </row>
    <row r="5">
      <c r="B5" s="13" t="s">
        <v>109</v>
      </c>
    </row>
    <row r="6" ht="20.25" customHeight="1">
      <c r="B6" s="14">
        <f>SUM(F16:F36)</f>
        <v>70167</v>
      </c>
    </row>
    <row r="8">
      <c r="B8" s="13" t="s">
        <v>110</v>
      </c>
    </row>
    <row r="9" ht="19.5" customHeight="1">
      <c r="B9" s="15">
        <f>MAX(F16:F36)</f>
        <v>8120</v>
      </c>
      <c r="C9" s="16" t="str">
        <f t="array" ref="C9">XLOOKUP(B9,F16:F36,C16:C36)</f>
        <v>Product D</v>
      </c>
      <c r="E9" s="17"/>
    </row>
    <row r="11">
      <c r="B11" s="13" t="s">
        <v>111</v>
      </c>
      <c r="H11" s="18" t="s">
        <v>112</v>
      </c>
    </row>
    <row r="12" ht="21.0" customHeight="1">
      <c r="B12" s="19">
        <f>SUM(J16:J36)</f>
        <v>22385.96</v>
      </c>
    </row>
    <row r="15">
      <c r="B15" s="3" t="s">
        <v>1</v>
      </c>
      <c r="C15" s="3" t="s">
        <v>2</v>
      </c>
      <c r="D15" s="3" t="s">
        <v>3</v>
      </c>
      <c r="E15" s="3" t="s">
        <v>4</v>
      </c>
      <c r="F15" s="3" t="s">
        <v>5</v>
      </c>
      <c r="G15" s="3" t="s">
        <v>6</v>
      </c>
      <c r="H15" s="3" t="s">
        <v>7</v>
      </c>
      <c r="I15" s="3" t="s">
        <v>8</v>
      </c>
      <c r="J15" s="3" t="s">
        <v>9</v>
      </c>
    </row>
    <row r="16">
      <c r="B16" s="20">
        <f>IFERROR(__xludf.DUMMYFUNCTION("SORT(FILTER('Report Tracker'!A4:I303,TEXT('Report Tracker'!A4:A303,""mmmm"")=C3),1,TRUE)"),45293.0)</f>
        <v>45293</v>
      </c>
      <c r="C16" s="21" t="str">
        <f>IFERROR(__xludf.DUMMYFUNCTION("""COMPUTED_VALUE"""),"Product D")</f>
        <v>Product D</v>
      </c>
      <c r="D16" s="21">
        <f>IFERROR(__xludf.DUMMYFUNCTION("""COMPUTED_VALUE"""),9.0)</f>
        <v>9</v>
      </c>
      <c r="E16" s="22">
        <f>IFERROR(__xludf.DUMMYFUNCTION("""COMPUTED_VALUE"""),471.0)</f>
        <v>471</v>
      </c>
      <c r="F16" s="22">
        <f>IFERROR(__xludf.DUMMYFUNCTION("""COMPUTED_VALUE"""),4239.0)</f>
        <v>4239</v>
      </c>
      <c r="G16" s="21" t="str">
        <f>IFERROR(__xludf.DUMMYFUNCTION("""COMPUTED_VALUE"""),"New Jersey")</f>
        <v>New Jersey</v>
      </c>
      <c r="H16" s="21" t="str">
        <f>IFERROR(__xludf.DUMMYFUNCTION("""COMPUTED_VALUE"""),"Zoe")</f>
        <v>Zoe</v>
      </c>
      <c r="I16" s="21" t="str">
        <f>IFERROR(__xludf.DUMMYFUNCTION("""COMPUTED_VALUE"""),"Cash")</f>
        <v>Cash</v>
      </c>
      <c r="J16" s="23">
        <f>IFERROR(__xludf.DUMMYFUNCTION("""COMPUTED_VALUE"""),1733.75)</f>
        <v>1733.75</v>
      </c>
    </row>
    <row r="17">
      <c r="B17" s="20">
        <f>IFERROR(__xludf.DUMMYFUNCTION("""COMPUTED_VALUE"""),45293.0)</f>
        <v>45293</v>
      </c>
      <c r="C17" s="21" t="str">
        <f>IFERROR(__xludf.DUMMYFUNCTION("""COMPUTED_VALUE"""),"Product C")</f>
        <v>Product C</v>
      </c>
      <c r="D17" s="21">
        <f>IFERROR(__xludf.DUMMYFUNCTION("""COMPUTED_VALUE"""),10.0)</f>
        <v>10</v>
      </c>
      <c r="E17" s="22">
        <f>IFERROR(__xludf.DUMMYFUNCTION("""COMPUTED_VALUE"""),435.0)</f>
        <v>435</v>
      </c>
      <c r="F17" s="22">
        <f>IFERROR(__xludf.DUMMYFUNCTION("""COMPUTED_VALUE"""),4350.0)</f>
        <v>4350</v>
      </c>
      <c r="G17" s="21" t="str">
        <f>IFERROR(__xludf.DUMMYFUNCTION("""COMPUTED_VALUE"""),"Pennsylvania")</f>
        <v>Pennsylvania</v>
      </c>
      <c r="H17" s="21" t="str">
        <f>IFERROR(__xludf.DUMMYFUNCTION("""COMPUTED_VALUE"""),"Emily")</f>
        <v>Emily</v>
      </c>
      <c r="I17" s="21" t="str">
        <f>IFERROR(__xludf.DUMMYFUNCTION("""COMPUTED_VALUE"""),"Credit Card")</f>
        <v>Credit Card</v>
      </c>
      <c r="J17" s="23">
        <f>IFERROR(__xludf.DUMMYFUNCTION("""COMPUTED_VALUE"""),1452.9)</f>
        <v>1452.9</v>
      </c>
    </row>
    <row r="18">
      <c r="B18" s="20">
        <f>IFERROR(__xludf.DUMMYFUNCTION("""COMPUTED_VALUE"""),45297.0)</f>
        <v>45297</v>
      </c>
      <c r="C18" s="21" t="str">
        <f>IFERROR(__xludf.DUMMYFUNCTION("""COMPUTED_VALUE"""),"Product C")</f>
        <v>Product C</v>
      </c>
      <c r="D18" s="21">
        <f>IFERROR(__xludf.DUMMYFUNCTION("""COMPUTED_VALUE"""),12.0)</f>
        <v>12</v>
      </c>
      <c r="E18" s="22">
        <f>IFERROR(__xludf.DUMMYFUNCTION("""COMPUTED_VALUE"""),377.0)</f>
        <v>377</v>
      </c>
      <c r="F18" s="22">
        <f>IFERROR(__xludf.DUMMYFUNCTION("""COMPUTED_VALUE"""),4524.0)</f>
        <v>4524</v>
      </c>
      <c r="G18" s="21" t="str">
        <f>IFERROR(__xludf.DUMMYFUNCTION("""COMPUTED_VALUE"""),"Arkansas")</f>
        <v>Arkansas</v>
      </c>
      <c r="H18" s="21" t="str">
        <f>IFERROR(__xludf.DUMMYFUNCTION("""COMPUTED_VALUE"""),"James")</f>
        <v>James</v>
      </c>
      <c r="I18" s="21" t="str">
        <f>IFERROR(__xludf.DUMMYFUNCTION("""COMPUTED_VALUE"""),"Cash")</f>
        <v>Cash</v>
      </c>
      <c r="J18" s="23">
        <f>IFERROR(__xludf.DUMMYFUNCTION("""COMPUTED_VALUE"""),1321.01)</f>
        <v>1321.01</v>
      </c>
    </row>
    <row r="19">
      <c r="B19" s="20">
        <f>IFERROR(__xludf.DUMMYFUNCTION("""COMPUTED_VALUE"""),45299.0)</f>
        <v>45299</v>
      </c>
      <c r="C19" s="21" t="str">
        <f>IFERROR(__xludf.DUMMYFUNCTION("""COMPUTED_VALUE"""),"Product B")</f>
        <v>Product B</v>
      </c>
      <c r="D19" s="21">
        <f>IFERROR(__xludf.DUMMYFUNCTION("""COMPUTED_VALUE"""),14.0)</f>
        <v>14</v>
      </c>
      <c r="E19" s="22">
        <f>IFERROR(__xludf.DUMMYFUNCTION("""COMPUTED_VALUE"""),448.0)</f>
        <v>448</v>
      </c>
      <c r="F19" s="22">
        <f>IFERROR(__xludf.DUMMYFUNCTION("""COMPUTED_VALUE"""),6272.0)</f>
        <v>6272</v>
      </c>
      <c r="G19" s="21" t="str">
        <f>IFERROR(__xludf.DUMMYFUNCTION("""COMPUTED_VALUE"""),"Georgia")</f>
        <v>Georgia</v>
      </c>
      <c r="H19" s="21" t="str">
        <f>IFERROR(__xludf.DUMMYFUNCTION("""COMPUTED_VALUE"""),"Lily")</f>
        <v>Lily</v>
      </c>
      <c r="I19" s="21" t="str">
        <f>IFERROR(__xludf.DUMMYFUNCTION("""COMPUTED_VALUE"""),"Cash")</f>
        <v>Cash</v>
      </c>
      <c r="J19" s="23">
        <f>IFERROR(__xludf.DUMMYFUNCTION("""COMPUTED_VALUE"""),2725.18)</f>
        <v>2725.18</v>
      </c>
    </row>
    <row r="20">
      <c r="B20" s="20">
        <f>IFERROR(__xludf.DUMMYFUNCTION("""COMPUTED_VALUE"""),45300.0)</f>
        <v>45300</v>
      </c>
      <c r="C20" s="21" t="str">
        <f>IFERROR(__xludf.DUMMYFUNCTION("""COMPUTED_VALUE"""),"Product C")</f>
        <v>Product C</v>
      </c>
      <c r="D20" s="21">
        <f>IFERROR(__xludf.DUMMYFUNCTION("""COMPUTED_VALUE"""),3.0)</f>
        <v>3</v>
      </c>
      <c r="E20" s="22">
        <f>IFERROR(__xludf.DUMMYFUNCTION("""COMPUTED_VALUE"""),238.0)</f>
        <v>238</v>
      </c>
      <c r="F20" s="22">
        <f>IFERROR(__xludf.DUMMYFUNCTION("""COMPUTED_VALUE"""),714.0)</f>
        <v>714</v>
      </c>
      <c r="G20" s="21" t="str">
        <f>IFERROR(__xludf.DUMMYFUNCTION("""COMPUTED_VALUE"""),"Washington")</f>
        <v>Washington</v>
      </c>
      <c r="H20" s="21" t="str">
        <f>IFERROR(__xludf.DUMMYFUNCTION("""COMPUTED_VALUE"""),"Sophia")</f>
        <v>Sophia</v>
      </c>
      <c r="I20" s="21" t="str">
        <f>IFERROR(__xludf.DUMMYFUNCTION("""COMPUTED_VALUE"""),"Online Payment")</f>
        <v>Online Payment</v>
      </c>
      <c r="J20" s="23">
        <f>IFERROR(__xludf.DUMMYFUNCTION("""COMPUTED_VALUE"""),300.31)</f>
        <v>300.31</v>
      </c>
    </row>
    <row r="21">
      <c r="B21" s="20">
        <f>IFERROR(__xludf.DUMMYFUNCTION("""COMPUTED_VALUE"""),45302.0)</f>
        <v>45302</v>
      </c>
      <c r="C21" s="21" t="str">
        <f>IFERROR(__xludf.DUMMYFUNCTION("""COMPUTED_VALUE"""),"Product C")</f>
        <v>Product C</v>
      </c>
      <c r="D21" s="21">
        <f>IFERROR(__xludf.DUMMYFUNCTION("""COMPUTED_VALUE"""),6.0)</f>
        <v>6</v>
      </c>
      <c r="E21" s="22">
        <f>IFERROR(__xludf.DUMMYFUNCTION("""COMPUTED_VALUE"""),421.0)</f>
        <v>421</v>
      </c>
      <c r="F21" s="22">
        <f>IFERROR(__xludf.DUMMYFUNCTION("""COMPUTED_VALUE"""),2526.0)</f>
        <v>2526</v>
      </c>
      <c r="G21" s="21" t="str">
        <f>IFERROR(__xludf.DUMMYFUNCTION("""COMPUTED_VALUE"""),"South Carolina")</f>
        <v>South Carolina</v>
      </c>
      <c r="H21" s="21" t="str">
        <f>IFERROR(__xludf.DUMMYFUNCTION("""COMPUTED_VALUE"""),"Ava")</f>
        <v>Ava</v>
      </c>
      <c r="I21" s="21" t="str">
        <f>IFERROR(__xludf.DUMMYFUNCTION("""COMPUTED_VALUE"""),"Online Payment")</f>
        <v>Online Payment</v>
      </c>
      <c r="J21" s="23">
        <f>IFERROR(__xludf.DUMMYFUNCTION("""COMPUTED_VALUE"""),1202.12)</f>
        <v>1202.12</v>
      </c>
    </row>
    <row r="22">
      <c r="B22" s="20">
        <f>IFERROR(__xludf.DUMMYFUNCTION("""COMPUTED_VALUE"""),45305.0)</f>
        <v>45305</v>
      </c>
      <c r="C22" s="21" t="str">
        <f>IFERROR(__xludf.DUMMYFUNCTION("""COMPUTED_VALUE"""),"Product B")</f>
        <v>Product B</v>
      </c>
      <c r="D22" s="21">
        <f>IFERROR(__xludf.DUMMYFUNCTION("""COMPUTED_VALUE"""),16.0)</f>
        <v>16</v>
      </c>
      <c r="E22" s="22">
        <f>IFERROR(__xludf.DUMMYFUNCTION("""COMPUTED_VALUE"""),307.0)</f>
        <v>307</v>
      </c>
      <c r="F22" s="22">
        <f>IFERROR(__xludf.DUMMYFUNCTION("""COMPUTED_VALUE"""),4912.0)</f>
        <v>4912</v>
      </c>
      <c r="G22" s="21" t="str">
        <f>IFERROR(__xludf.DUMMYFUNCTION("""COMPUTED_VALUE"""),"Oklahoma")</f>
        <v>Oklahoma</v>
      </c>
      <c r="H22" s="21" t="str">
        <f>IFERROR(__xludf.DUMMYFUNCTION("""COMPUTED_VALUE"""),"James")</f>
        <v>James</v>
      </c>
      <c r="I22" s="21" t="str">
        <f>IFERROR(__xludf.DUMMYFUNCTION("""COMPUTED_VALUE"""),"Cash")</f>
        <v>Cash</v>
      </c>
      <c r="J22" s="23">
        <f>IFERROR(__xludf.DUMMYFUNCTION("""COMPUTED_VALUE"""),2124.44)</f>
        <v>2124.44</v>
      </c>
    </row>
    <row r="23">
      <c r="B23" s="20">
        <f>IFERROR(__xludf.DUMMYFUNCTION("""COMPUTED_VALUE"""),45308.0)</f>
        <v>45308</v>
      </c>
      <c r="C23" s="21" t="str">
        <f>IFERROR(__xludf.DUMMYFUNCTION("""COMPUTED_VALUE"""),"Product C")</f>
        <v>Product C</v>
      </c>
      <c r="D23" s="21">
        <f>IFERROR(__xludf.DUMMYFUNCTION("""COMPUTED_VALUE"""),3.0)</f>
        <v>3</v>
      </c>
      <c r="E23" s="22">
        <f>IFERROR(__xludf.DUMMYFUNCTION("""COMPUTED_VALUE"""),306.0)</f>
        <v>306</v>
      </c>
      <c r="F23" s="22">
        <f>IFERROR(__xludf.DUMMYFUNCTION("""COMPUTED_VALUE"""),918.0)</f>
        <v>918</v>
      </c>
      <c r="G23" s="21" t="str">
        <f>IFERROR(__xludf.DUMMYFUNCTION("""COMPUTED_VALUE"""),"Louisiana")</f>
        <v>Louisiana</v>
      </c>
      <c r="H23" s="21" t="str">
        <f>IFERROR(__xludf.DUMMYFUNCTION("""COMPUTED_VALUE"""),"Emily")</f>
        <v>Emily</v>
      </c>
      <c r="I23" s="21" t="str">
        <f>IFERROR(__xludf.DUMMYFUNCTION("""COMPUTED_VALUE"""),"Credit Card")</f>
        <v>Credit Card</v>
      </c>
      <c r="J23" s="23">
        <f>IFERROR(__xludf.DUMMYFUNCTION("""COMPUTED_VALUE"""),332.13)</f>
        <v>332.13</v>
      </c>
    </row>
    <row r="24">
      <c r="B24" s="20">
        <f>IFERROR(__xludf.DUMMYFUNCTION("""COMPUTED_VALUE"""),45308.0)</f>
        <v>45308</v>
      </c>
      <c r="C24" s="21" t="str">
        <f>IFERROR(__xludf.DUMMYFUNCTION("""COMPUTED_VALUE"""),"Product D")</f>
        <v>Product D</v>
      </c>
      <c r="D24" s="21">
        <f>IFERROR(__xludf.DUMMYFUNCTION("""COMPUTED_VALUE"""),20.0)</f>
        <v>20</v>
      </c>
      <c r="E24" s="22">
        <f>IFERROR(__xludf.DUMMYFUNCTION("""COMPUTED_VALUE"""),406.0)</f>
        <v>406</v>
      </c>
      <c r="F24" s="22">
        <f>IFERROR(__xludf.DUMMYFUNCTION("""COMPUTED_VALUE"""),8120.0)</f>
        <v>8120</v>
      </c>
      <c r="G24" s="21" t="str">
        <f>IFERROR(__xludf.DUMMYFUNCTION("""COMPUTED_VALUE"""),"Alaska")</f>
        <v>Alaska</v>
      </c>
      <c r="H24" s="21" t="str">
        <f>IFERROR(__xludf.DUMMYFUNCTION("""COMPUTED_VALUE"""),"Liam")</f>
        <v>Liam</v>
      </c>
      <c r="I24" s="21" t="str">
        <f>IFERROR(__xludf.DUMMYFUNCTION("""COMPUTED_VALUE"""),"Credit Card")</f>
        <v>Credit Card</v>
      </c>
      <c r="J24" s="23">
        <f>IFERROR(__xludf.DUMMYFUNCTION("""COMPUTED_VALUE"""),1788.02)</f>
        <v>1788.02</v>
      </c>
    </row>
    <row r="25">
      <c r="B25" s="20">
        <f>IFERROR(__xludf.DUMMYFUNCTION("""COMPUTED_VALUE"""),45309.0)</f>
        <v>45309</v>
      </c>
      <c r="C25" s="21" t="str">
        <f>IFERROR(__xludf.DUMMYFUNCTION("""COMPUTED_VALUE"""),"Product C")</f>
        <v>Product C</v>
      </c>
      <c r="D25" s="21">
        <f>IFERROR(__xludf.DUMMYFUNCTION("""COMPUTED_VALUE"""),5.0)</f>
        <v>5</v>
      </c>
      <c r="E25" s="22">
        <f>IFERROR(__xludf.DUMMYFUNCTION("""COMPUTED_VALUE"""),136.0)</f>
        <v>136</v>
      </c>
      <c r="F25" s="22">
        <f>IFERROR(__xludf.DUMMYFUNCTION("""COMPUTED_VALUE"""),680.0)</f>
        <v>680</v>
      </c>
      <c r="G25" s="21" t="str">
        <f>IFERROR(__xludf.DUMMYFUNCTION("""COMPUTED_VALUE"""),"Maine")</f>
        <v>Maine</v>
      </c>
      <c r="H25" s="21" t="str">
        <f>IFERROR(__xludf.DUMMYFUNCTION("""COMPUTED_VALUE"""),"Amelia")</f>
        <v>Amelia</v>
      </c>
      <c r="I25" s="21" t="str">
        <f>IFERROR(__xludf.DUMMYFUNCTION("""COMPUTED_VALUE"""),"Online Payment")</f>
        <v>Online Payment</v>
      </c>
      <c r="J25" s="23">
        <f>IFERROR(__xludf.DUMMYFUNCTION("""COMPUTED_VALUE"""),220.8)</f>
        <v>220.8</v>
      </c>
    </row>
    <row r="26">
      <c r="B26" s="20">
        <f>IFERROR(__xludf.DUMMYFUNCTION("""COMPUTED_VALUE"""),45312.0)</f>
        <v>45312</v>
      </c>
      <c r="C26" s="21" t="str">
        <f>IFERROR(__xludf.DUMMYFUNCTION("""COMPUTED_VALUE"""),"Product B")</f>
        <v>Product B</v>
      </c>
      <c r="D26" s="21">
        <f>IFERROR(__xludf.DUMMYFUNCTION("""COMPUTED_VALUE"""),15.0)</f>
        <v>15</v>
      </c>
      <c r="E26" s="22">
        <f>IFERROR(__xludf.DUMMYFUNCTION("""COMPUTED_VALUE"""),496.0)</f>
        <v>496</v>
      </c>
      <c r="F26" s="22">
        <f>IFERROR(__xludf.DUMMYFUNCTION("""COMPUTED_VALUE"""),7440.0)</f>
        <v>7440</v>
      </c>
      <c r="G26" s="21" t="str">
        <f>IFERROR(__xludf.DUMMYFUNCTION("""COMPUTED_VALUE"""),"North Dakota")</f>
        <v>North Dakota</v>
      </c>
      <c r="H26" s="21" t="str">
        <f>IFERROR(__xludf.DUMMYFUNCTION("""COMPUTED_VALUE"""),"Chloe")</f>
        <v>Chloe</v>
      </c>
      <c r="I26" s="21" t="str">
        <f>IFERROR(__xludf.DUMMYFUNCTION("""COMPUTED_VALUE"""),"Online Payment")</f>
        <v>Online Payment</v>
      </c>
      <c r="J26" s="23">
        <f>IFERROR(__xludf.DUMMYFUNCTION("""COMPUTED_VALUE"""),1842.14)</f>
        <v>1842.14</v>
      </c>
    </row>
    <row r="27">
      <c r="B27" s="20">
        <f>IFERROR(__xludf.DUMMYFUNCTION("""COMPUTED_VALUE"""),45314.0)</f>
        <v>45314</v>
      </c>
      <c r="C27" s="21" t="str">
        <f>IFERROR(__xludf.DUMMYFUNCTION("""COMPUTED_VALUE"""),"Product D")</f>
        <v>Product D</v>
      </c>
      <c r="D27" s="21">
        <f>IFERROR(__xludf.DUMMYFUNCTION("""COMPUTED_VALUE"""),18.0)</f>
        <v>18</v>
      </c>
      <c r="E27" s="22">
        <f>IFERROR(__xludf.DUMMYFUNCTION("""COMPUTED_VALUE"""),150.0)</f>
        <v>150</v>
      </c>
      <c r="F27" s="22">
        <f>IFERROR(__xludf.DUMMYFUNCTION("""COMPUTED_VALUE"""),2700.0)</f>
        <v>2700</v>
      </c>
      <c r="G27" s="21" t="str">
        <f>IFERROR(__xludf.DUMMYFUNCTION("""COMPUTED_VALUE"""),"Missouri")</f>
        <v>Missouri</v>
      </c>
      <c r="H27" s="21" t="str">
        <f>IFERROR(__xludf.DUMMYFUNCTION("""COMPUTED_VALUE"""),"Emma")</f>
        <v>Emma</v>
      </c>
      <c r="I27" s="21" t="str">
        <f>IFERROR(__xludf.DUMMYFUNCTION("""COMPUTED_VALUE"""),"Online Payment")</f>
        <v>Online Payment</v>
      </c>
      <c r="J27" s="23">
        <f>IFERROR(__xludf.DUMMYFUNCTION("""COMPUTED_VALUE"""),777.6)</f>
        <v>777.6</v>
      </c>
    </row>
    <row r="28">
      <c r="B28" s="20">
        <f>IFERROR(__xludf.DUMMYFUNCTION("""COMPUTED_VALUE"""),45314.0)</f>
        <v>45314</v>
      </c>
      <c r="C28" s="21" t="str">
        <f>IFERROR(__xludf.DUMMYFUNCTION("""COMPUTED_VALUE"""),"Product B")</f>
        <v>Product B</v>
      </c>
      <c r="D28" s="21">
        <f>IFERROR(__xludf.DUMMYFUNCTION("""COMPUTED_VALUE"""),2.0)</f>
        <v>2</v>
      </c>
      <c r="E28" s="22">
        <f>IFERROR(__xludf.DUMMYFUNCTION("""COMPUTED_VALUE"""),226.0)</f>
        <v>226</v>
      </c>
      <c r="F28" s="22">
        <f>IFERROR(__xludf.DUMMYFUNCTION("""COMPUTED_VALUE"""),452.0)</f>
        <v>452</v>
      </c>
      <c r="G28" s="21" t="str">
        <f>IFERROR(__xludf.DUMMYFUNCTION("""COMPUTED_VALUE"""),"Maryland")</f>
        <v>Maryland</v>
      </c>
      <c r="H28" s="21" t="str">
        <f>IFERROR(__xludf.DUMMYFUNCTION("""COMPUTED_VALUE"""),"Matthew")</f>
        <v>Matthew</v>
      </c>
      <c r="I28" s="21" t="str">
        <f>IFERROR(__xludf.DUMMYFUNCTION("""COMPUTED_VALUE"""),"Cash")</f>
        <v>Cash</v>
      </c>
      <c r="J28" s="23">
        <f>IFERROR(__xludf.DUMMYFUNCTION("""COMPUTED_VALUE"""),224.51)</f>
        <v>224.51</v>
      </c>
    </row>
    <row r="29">
      <c r="B29" s="20">
        <f>IFERROR(__xludf.DUMMYFUNCTION("""COMPUTED_VALUE"""),45315.0)</f>
        <v>45315</v>
      </c>
      <c r="C29" s="21" t="str">
        <f>IFERROR(__xludf.DUMMYFUNCTION("""COMPUTED_VALUE"""),"Product B")</f>
        <v>Product B</v>
      </c>
      <c r="D29" s="21">
        <f>IFERROR(__xludf.DUMMYFUNCTION("""COMPUTED_VALUE"""),13.0)</f>
        <v>13</v>
      </c>
      <c r="E29" s="22">
        <f>IFERROR(__xludf.DUMMYFUNCTION("""COMPUTED_VALUE"""),494.0)</f>
        <v>494</v>
      </c>
      <c r="F29" s="22">
        <f>IFERROR(__xludf.DUMMYFUNCTION("""COMPUTED_VALUE"""),6422.0)</f>
        <v>6422</v>
      </c>
      <c r="G29" s="21" t="str">
        <f>IFERROR(__xludf.DUMMYFUNCTION("""COMPUTED_VALUE"""),"Arkansas")</f>
        <v>Arkansas</v>
      </c>
      <c r="H29" s="21" t="str">
        <f>IFERROR(__xludf.DUMMYFUNCTION("""COMPUTED_VALUE"""),"John")</f>
        <v>John</v>
      </c>
      <c r="I29" s="21" t="str">
        <f>IFERROR(__xludf.DUMMYFUNCTION("""COMPUTED_VALUE"""),"Credit Card")</f>
        <v>Credit Card</v>
      </c>
      <c r="J29" s="23">
        <f>IFERROR(__xludf.DUMMYFUNCTION("""COMPUTED_VALUE"""),1864.95)</f>
        <v>1864.95</v>
      </c>
    </row>
    <row r="30">
      <c r="B30" s="20">
        <f>IFERROR(__xludf.DUMMYFUNCTION("""COMPUTED_VALUE"""),45316.0)</f>
        <v>45316</v>
      </c>
      <c r="C30" s="21" t="str">
        <f>IFERROR(__xludf.DUMMYFUNCTION("""COMPUTED_VALUE"""),"Product A")</f>
        <v>Product A</v>
      </c>
      <c r="D30" s="21">
        <f>IFERROR(__xludf.DUMMYFUNCTION("""COMPUTED_VALUE"""),5.0)</f>
        <v>5</v>
      </c>
      <c r="E30" s="22">
        <f>IFERROR(__xludf.DUMMYFUNCTION("""COMPUTED_VALUE"""),351.0)</f>
        <v>351</v>
      </c>
      <c r="F30" s="22">
        <f>IFERROR(__xludf.DUMMYFUNCTION("""COMPUTED_VALUE"""),1755.0)</f>
        <v>1755</v>
      </c>
      <c r="G30" s="21" t="str">
        <f>IFERROR(__xludf.DUMMYFUNCTION("""COMPUTED_VALUE"""),"Utah")</f>
        <v>Utah</v>
      </c>
      <c r="H30" s="21" t="str">
        <f>IFERROR(__xludf.DUMMYFUNCTION("""COMPUTED_VALUE"""),"Mia")</f>
        <v>Mia</v>
      </c>
      <c r="I30" s="21" t="str">
        <f>IFERROR(__xludf.DUMMYFUNCTION("""COMPUTED_VALUE"""),"Online Payment")</f>
        <v>Online Payment</v>
      </c>
      <c r="J30" s="23">
        <f>IFERROR(__xludf.DUMMYFUNCTION("""COMPUTED_VALUE"""),384.52)</f>
        <v>384.52</v>
      </c>
    </row>
    <row r="31">
      <c r="B31" s="20">
        <f>IFERROR(__xludf.DUMMYFUNCTION("""COMPUTED_VALUE"""),45316.0)</f>
        <v>45316</v>
      </c>
      <c r="C31" s="21" t="str">
        <f>IFERROR(__xludf.DUMMYFUNCTION("""COMPUTED_VALUE"""),"Product C")</f>
        <v>Product C</v>
      </c>
      <c r="D31" s="21">
        <f>IFERROR(__xludf.DUMMYFUNCTION("""COMPUTED_VALUE"""),9.0)</f>
        <v>9</v>
      </c>
      <c r="E31" s="22">
        <f>IFERROR(__xludf.DUMMYFUNCTION("""COMPUTED_VALUE"""),150.0)</f>
        <v>150</v>
      </c>
      <c r="F31" s="22">
        <f>IFERROR(__xludf.DUMMYFUNCTION("""COMPUTED_VALUE"""),1350.0)</f>
        <v>1350</v>
      </c>
      <c r="G31" s="21" t="str">
        <f>IFERROR(__xludf.DUMMYFUNCTION("""COMPUTED_VALUE"""),"Mississippi")</f>
        <v>Mississippi</v>
      </c>
      <c r="H31" s="21" t="str">
        <f>IFERROR(__xludf.DUMMYFUNCTION("""COMPUTED_VALUE"""),"Mia")</f>
        <v>Mia</v>
      </c>
      <c r="I31" s="21" t="str">
        <f>IFERROR(__xludf.DUMMYFUNCTION("""COMPUTED_VALUE"""),"Cash")</f>
        <v>Cash</v>
      </c>
      <c r="J31" s="23">
        <f>IFERROR(__xludf.DUMMYFUNCTION("""COMPUTED_VALUE"""),571.05)</f>
        <v>571.05</v>
      </c>
    </row>
    <row r="32">
      <c r="B32" s="20">
        <f>IFERROR(__xludf.DUMMYFUNCTION("""COMPUTED_VALUE"""),45318.0)</f>
        <v>45318</v>
      </c>
      <c r="C32" s="21" t="str">
        <f>IFERROR(__xludf.DUMMYFUNCTION("""COMPUTED_VALUE"""),"Product C")</f>
        <v>Product C</v>
      </c>
      <c r="D32" s="21">
        <f>IFERROR(__xludf.DUMMYFUNCTION("""COMPUTED_VALUE"""),16.0)</f>
        <v>16</v>
      </c>
      <c r="E32" s="22">
        <f>IFERROR(__xludf.DUMMYFUNCTION("""COMPUTED_VALUE"""),146.0)</f>
        <v>146</v>
      </c>
      <c r="F32" s="22">
        <f>IFERROR(__xludf.DUMMYFUNCTION("""COMPUTED_VALUE"""),2336.0)</f>
        <v>2336</v>
      </c>
      <c r="G32" s="21" t="str">
        <f>IFERROR(__xludf.DUMMYFUNCTION("""COMPUTED_VALUE"""),"California")</f>
        <v>California</v>
      </c>
      <c r="H32" s="21" t="str">
        <f>IFERROR(__xludf.DUMMYFUNCTION("""COMPUTED_VALUE"""),"Jack")</f>
        <v>Jack</v>
      </c>
      <c r="I32" s="21" t="str">
        <f>IFERROR(__xludf.DUMMYFUNCTION("""COMPUTED_VALUE"""),"Cash")</f>
        <v>Cash</v>
      </c>
      <c r="J32" s="23">
        <f>IFERROR(__xludf.DUMMYFUNCTION("""COMPUTED_VALUE"""),519.06)</f>
        <v>519.06</v>
      </c>
    </row>
    <row r="33">
      <c r="B33" s="20">
        <f>IFERROR(__xludf.DUMMYFUNCTION("""COMPUTED_VALUE"""),45318.0)</f>
        <v>45318</v>
      </c>
      <c r="C33" s="21" t="str">
        <f>IFERROR(__xludf.DUMMYFUNCTION("""COMPUTED_VALUE"""),"Product B")</f>
        <v>Product B</v>
      </c>
      <c r="D33" s="21">
        <f>IFERROR(__xludf.DUMMYFUNCTION("""COMPUTED_VALUE"""),6.0)</f>
        <v>6</v>
      </c>
      <c r="E33" s="22">
        <f>IFERROR(__xludf.DUMMYFUNCTION("""COMPUTED_VALUE"""),402.0)</f>
        <v>402</v>
      </c>
      <c r="F33" s="22">
        <f>IFERROR(__xludf.DUMMYFUNCTION("""COMPUTED_VALUE"""),2412.0)</f>
        <v>2412</v>
      </c>
      <c r="G33" s="21" t="str">
        <f>IFERROR(__xludf.DUMMYFUNCTION("""COMPUTED_VALUE"""),"Arkansas")</f>
        <v>Arkansas</v>
      </c>
      <c r="H33" s="21" t="str">
        <f>IFERROR(__xludf.DUMMYFUNCTION("""COMPUTED_VALUE"""),"Emma")</f>
        <v>Emma</v>
      </c>
      <c r="I33" s="21" t="str">
        <f>IFERROR(__xludf.DUMMYFUNCTION("""COMPUTED_VALUE"""),"Cash")</f>
        <v>Cash</v>
      </c>
      <c r="J33" s="23">
        <f>IFERROR(__xludf.DUMMYFUNCTION("""COMPUTED_VALUE"""),802.95)</f>
        <v>802.95</v>
      </c>
    </row>
    <row r="34">
      <c r="B34" s="20">
        <f>IFERROR(__xludf.DUMMYFUNCTION("""COMPUTED_VALUE"""),45318.0)</f>
        <v>45318</v>
      </c>
      <c r="C34" s="21" t="str">
        <f>IFERROR(__xludf.DUMMYFUNCTION("""COMPUTED_VALUE"""),"Product D")</f>
        <v>Product D</v>
      </c>
      <c r="D34" s="21">
        <f>IFERROR(__xludf.DUMMYFUNCTION("""COMPUTED_VALUE"""),6.0)</f>
        <v>6</v>
      </c>
      <c r="E34" s="22">
        <f>IFERROR(__xludf.DUMMYFUNCTION("""COMPUTED_VALUE"""),310.0)</f>
        <v>310</v>
      </c>
      <c r="F34" s="22">
        <f>IFERROR(__xludf.DUMMYFUNCTION("""COMPUTED_VALUE"""),1860.0)</f>
        <v>1860</v>
      </c>
      <c r="G34" s="21" t="str">
        <f>IFERROR(__xludf.DUMMYFUNCTION("""COMPUTED_VALUE"""),"Washington")</f>
        <v>Washington</v>
      </c>
      <c r="H34" s="21" t="str">
        <f>IFERROR(__xludf.DUMMYFUNCTION("""COMPUTED_VALUE"""),"Samantha")</f>
        <v>Samantha</v>
      </c>
      <c r="I34" s="21" t="str">
        <f>IFERROR(__xludf.DUMMYFUNCTION("""COMPUTED_VALUE"""),"Cash")</f>
        <v>Cash</v>
      </c>
      <c r="J34" s="23">
        <f>IFERROR(__xludf.DUMMYFUNCTION("""COMPUTED_VALUE"""),454.4)</f>
        <v>454.4</v>
      </c>
    </row>
    <row r="35">
      <c r="B35" s="20">
        <f>IFERROR(__xludf.DUMMYFUNCTION("""COMPUTED_VALUE"""),45320.0)</f>
        <v>45320</v>
      </c>
      <c r="C35" s="21" t="str">
        <f>IFERROR(__xludf.DUMMYFUNCTION("""COMPUTED_VALUE"""),"Product C")</f>
        <v>Product C</v>
      </c>
      <c r="D35" s="21">
        <f>IFERROR(__xludf.DUMMYFUNCTION("""COMPUTED_VALUE"""),12.0)</f>
        <v>12</v>
      </c>
      <c r="E35" s="22">
        <f>IFERROR(__xludf.DUMMYFUNCTION("""COMPUTED_VALUE"""),250.0)</f>
        <v>250</v>
      </c>
      <c r="F35" s="22">
        <f>IFERROR(__xludf.DUMMYFUNCTION("""COMPUTED_VALUE"""),3000.0)</f>
        <v>3000</v>
      </c>
      <c r="G35" s="21" t="str">
        <f>IFERROR(__xludf.DUMMYFUNCTION("""COMPUTED_VALUE"""),"Georgia")</f>
        <v>Georgia</v>
      </c>
      <c r="H35" s="21" t="str">
        <f>IFERROR(__xludf.DUMMYFUNCTION("""COMPUTED_VALUE"""),"Liam")</f>
        <v>Liam</v>
      </c>
      <c r="I35" s="21" t="str">
        <f>IFERROR(__xludf.DUMMYFUNCTION("""COMPUTED_VALUE"""),"Online Payment")</f>
        <v>Online Payment</v>
      </c>
      <c r="J35" s="23">
        <f>IFERROR(__xludf.DUMMYFUNCTION("""COMPUTED_VALUE"""),970.8)</f>
        <v>970.8</v>
      </c>
    </row>
    <row r="36">
      <c r="B36" s="20">
        <f>IFERROR(__xludf.DUMMYFUNCTION("""COMPUTED_VALUE"""),45321.0)</f>
        <v>45321</v>
      </c>
      <c r="C36" s="21" t="str">
        <f>IFERROR(__xludf.DUMMYFUNCTION("""COMPUTED_VALUE"""),"Product A")</f>
        <v>Product A</v>
      </c>
      <c r="D36" s="21">
        <f>IFERROR(__xludf.DUMMYFUNCTION("""COMPUTED_VALUE"""),13.0)</f>
        <v>13</v>
      </c>
      <c r="E36" s="22">
        <f>IFERROR(__xludf.DUMMYFUNCTION("""COMPUTED_VALUE"""),245.0)</f>
        <v>245</v>
      </c>
      <c r="F36" s="22">
        <f>IFERROR(__xludf.DUMMYFUNCTION("""COMPUTED_VALUE"""),3185.0)</f>
        <v>3185</v>
      </c>
      <c r="G36" s="21" t="str">
        <f>IFERROR(__xludf.DUMMYFUNCTION("""COMPUTED_VALUE"""),"West Virginia")</f>
        <v>West Virginia</v>
      </c>
      <c r="H36" s="21" t="str">
        <f>IFERROR(__xludf.DUMMYFUNCTION("""COMPUTED_VALUE"""),"Ethan")</f>
        <v>Ethan</v>
      </c>
      <c r="I36" s="21" t="str">
        <f>IFERROR(__xludf.DUMMYFUNCTION("""COMPUTED_VALUE"""),"Credit Card")</f>
        <v>Credit Card</v>
      </c>
      <c r="J36" s="23">
        <f>IFERROR(__xludf.DUMMYFUNCTION("""COMPUTED_VALUE"""),773.32)</f>
        <v>773.32</v>
      </c>
    </row>
    <row r="37">
      <c r="B37" s="4"/>
      <c r="C37" s="5"/>
      <c r="D37" s="5"/>
      <c r="E37" s="6"/>
      <c r="F37" s="6"/>
      <c r="G37" s="5"/>
      <c r="H37" s="5"/>
      <c r="I37" s="5"/>
      <c r="J37" s="7"/>
    </row>
    <row r="38">
      <c r="B38" s="4"/>
      <c r="C38" s="5"/>
      <c r="D38" s="5"/>
      <c r="E38" s="6"/>
      <c r="F38" s="6"/>
      <c r="G38" s="5"/>
      <c r="H38" s="5"/>
      <c r="I38" s="5"/>
      <c r="J38" s="7"/>
    </row>
    <row r="39">
      <c r="B39" s="4"/>
      <c r="C39" s="5"/>
      <c r="D39" s="5"/>
      <c r="E39" s="6"/>
      <c r="F39" s="6"/>
      <c r="G39" s="5"/>
      <c r="H39" s="5"/>
      <c r="I39" s="5"/>
      <c r="J39" s="7"/>
    </row>
    <row r="40">
      <c r="B40" s="4"/>
      <c r="C40" s="5"/>
      <c r="D40" s="5"/>
      <c r="E40" s="6"/>
      <c r="F40" s="6"/>
      <c r="G40" s="5"/>
      <c r="H40" s="5"/>
      <c r="I40" s="5"/>
      <c r="J40" s="7"/>
    </row>
    <row r="41">
      <c r="B41" s="4"/>
      <c r="C41" s="5"/>
      <c r="D41" s="5"/>
      <c r="E41" s="6"/>
      <c r="F41" s="6"/>
      <c r="G41" s="5"/>
      <c r="H41" s="5"/>
      <c r="I41" s="5"/>
      <c r="J41" s="7"/>
    </row>
    <row r="42">
      <c r="B42" s="4"/>
      <c r="C42" s="5"/>
      <c r="D42" s="5"/>
      <c r="E42" s="6"/>
      <c r="F42" s="6"/>
      <c r="G42" s="5"/>
      <c r="H42" s="5"/>
      <c r="I42" s="5"/>
      <c r="J42" s="7"/>
    </row>
    <row r="43">
      <c r="B43" s="4"/>
      <c r="C43" s="5"/>
      <c r="D43" s="5"/>
      <c r="E43" s="6"/>
      <c r="F43" s="6"/>
      <c r="G43" s="5"/>
      <c r="H43" s="5"/>
      <c r="I43" s="5"/>
      <c r="J43" s="7"/>
    </row>
    <row r="44">
      <c r="B44" s="4"/>
      <c r="C44" s="5"/>
      <c r="D44" s="5"/>
      <c r="E44" s="6"/>
      <c r="F44" s="6"/>
      <c r="G44" s="5"/>
      <c r="H44" s="5"/>
      <c r="I44" s="5"/>
      <c r="J44" s="7"/>
    </row>
    <row r="45">
      <c r="B45" s="4"/>
      <c r="C45" s="5"/>
      <c r="D45" s="5"/>
      <c r="E45" s="6"/>
      <c r="F45" s="6"/>
      <c r="G45" s="5"/>
      <c r="H45" s="5"/>
      <c r="I45" s="5"/>
      <c r="J45" s="7"/>
    </row>
    <row r="46">
      <c r="B46" s="4"/>
      <c r="C46" s="5"/>
      <c r="D46" s="5"/>
      <c r="E46" s="6"/>
      <c r="F46" s="6"/>
      <c r="G46" s="5"/>
      <c r="H46" s="5"/>
      <c r="I46" s="5"/>
      <c r="J46" s="7"/>
    </row>
    <row r="47">
      <c r="B47" s="4"/>
      <c r="C47" s="5"/>
      <c r="D47" s="5"/>
      <c r="E47" s="6"/>
      <c r="F47" s="6"/>
      <c r="G47" s="5"/>
      <c r="H47" s="5"/>
      <c r="I47" s="5"/>
      <c r="J47" s="7"/>
    </row>
    <row r="48">
      <c r="B48" s="4"/>
      <c r="C48" s="5"/>
      <c r="D48" s="5"/>
      <c r="E48" s="6"/>
      <c r="F48" s="6"/>
      <c r="G48" s="5"/>
      <c r="H48" s="5"/>
      <c r="I48" s="5"/>
      <c r="J48" s="7"/>
    </row>
    <row r="49">
      <c r="B49" s="4"/>
      <c r="C49" s="5"/>
      <c r="D49" s="5"/>
      <c r="E49" s="6"/>
      <c r="F49" s="6"/>
      <c r="G49" s="5"/>
      <c r="H49" s="5"/>
      <c r="I49" s="5"/>
      <c r="J49" s="7"/>
    </row>
    <row r="50">
      <c r="B50" s="4"/>
      <c r="C50" s="5"/>
      <c r="D50" s="5"/>
      <c r="E50" s="6"/>
      <c r="F50" s="6"/>
      <c r="G50" s="5"/>
      <c r="H50" s="5"/>
      <c r="I50" s="5"/>
      <c r="J50" s="7"/>
    </row>
    <row r="51">
      <c r="B51" s="4"/>
      <c r="C51" s="5"/>
      <c r="D51" s="5"/>
      <c r="E51" s="6"/>
      <c r="F51" s="6"/>
      <c r="G51" s="5"/>
      <c r="H51" s="5"/>
      <c r="I51" s="5"/>
      <c r="J51" s="7"/>
    </row>
    <row r="52">
      <c r="B52" s="4"/>
      <c r="C52" s="5"/>
      <c r="D52" s="5"/>
      <c r="E52" s="6"/>
      <c r="F52" s="6"/>
      <c r="G52" s="5"/>
      <c r="H52" s="5"/>
      <c r="I52" s="5"/>
      <c r="J52" s="7"/>
    </row>
    <row r="53">
      <c r="B53" s="4"/>
      <c r="C53" s="5"/>
      <c r="D53" s="5"/>
      <c r="E53" s="6"/>
      <c r="F53" s="6"/>
      <c r="G53" s="5"/>
      <c r="H53" s="5"/>
      <c r="I53" s="5"/>
      <c r="J53" s="7"/>
    </row>
    <row r="54">
      <c r="B54" s="4"/>
      <c r="C54" s="5"/>
      <c r="D54" s="5"/>
      <c r="E54" s="6"/>
      <c r="F54" s="6"/>
      <c r="G54" s="5"/>
      <c r="H54" s="5"/>
      <c r="I54" s="5"/>
      <c r="J54" s="7"/>
    </row>
    <row r="55">
      <c r="B55" s="4"/>
      <c r="C55" s="5"/>
      <c r="D55" s="5"/>
      <c r="E55" s="6"/>
      <c r="F55" s="6"/>
      <c r="G55" s="5"/>
      <c r="H55" s="5"/>
      <c r="I55" s="5"/>
      <c r="J55" s="7"/>
    </row>
    <row r="56">
      <c r="B56" s="4"/>
      <c r="C56" s="5"/>
      <c r="D56" s="5"/>
      <c r="E56" s="6"/>
      <c r="F56" s="6"/>
      <c r="G56" s="5"/>
      <c r="H56" s="5"/>
      <c r="I56" s="5"/>
      <c r="J56" s="7"/>
    </row>
    <row r="57">
      <c r="B57" s="4"/>
      <c r="C57" s="5"/>
      <c r="D57" s="5"/>
      <c r="E57" s="6"/>
      <c r="F57" s="6"/>
      <c r="G57" s="5"/>
      <c r="H57" s="5"/>
      <c r="I57" s="5"/>
      <c r="J57" s="7"/>
    </row>
    <row r="58">
      <c r="B58" s="4"/>
      <c r="C58" s="5"/>
      <c r="D58" s="5"/>
      <c r="E58" s="6"/>
      <c r="F58" s="6"/>
      <c r="G58" s="5"/>
      <c r="H58" s="5"/>
      <c r="I58" s="5"/>
      <c r="J58" s="7"/>
    </row>
    <row r="59">
      <c r="B59" s="4"/>
      <c r="C59" s="5"/>
      <c r="D59" s="5"/>
      <c r="E59" s="6"/>
      <c r="F59" s="6"/>
      <c r="G59" s="5"/>
      <c r="H59" s="5"/>
      <c r="I59" s="5"/>
      <c r="J59" s="7"/>
    </row>
    <row r="60">
      <c r="B60" s="4"/>
      <c r="C60" s="5"/>
      <c r="D60" s="5"/>
      <c r="E60" s="6"/>
      <c r="F60" s="6"/>
      <c r="G60" s="5"/>
      <c r="H60" s="5"/>
      <c r="I60" s="5"/>
      <c r="J60" s="7"/>
    </row>
    <row r="61">
      <c r="B61" s="4"/>
      <c r="C61" s="5"/>
      <c r="D61" s="5"/>
      <c r="E61" s="6"/>
      <c r="F61" s="6"/>
      <c r="G61" s="5"/>
      <c r="H61" s="5"/>
      <c r="I61" s="5"/>
      <c r="J61" s="7"/>
    </row>
    <row r="62">
      <c r="B62" s="4"/>
      <c r="C62" s="5"/>
      <c r="D62" s="5"/>
      <c r="E62" s="6"/>
      <c r="F62" s="6"/>
      <c r="G62" s="5"/>
      <c r="H62" s="5"/>
      <c r="I62" s="5"/>
      <c r="J62" s="7"/>
    </row>
    <row r="63">
      <c r="B63" s="4"/>
      <c r="C63" s="5"/>
      <c r="D63" s="5"/>
      <c r="E63" s="6"/>
      <c r="F63" s="6"/>
      <c r="G63" s="5"/>
      <c r="H63" s="5"/>
      <c r="I63" s="5"/>
      <c r="J63" s="7"/>
    </row>
    <row r="64">
      <c r="B64" s="4"/>
      <c r="C64" s="5"/>
      <c r="D64" s="5"/>
      <c r="E64" s="6"/>
      <c r="F64" s="6"/>
      <c r="G64" s="5"/>
      <c r="H64" s="5"/>
      <c r="I64" s="5"/>
      <c r="J64" s="7"/>
    </row>
    <row r="65">
      <c r="B65" s="4"/>
      <c r="C65" s="5"/>
      <c r="D65" s="5"/>
      <c r="E65" s="6"/>
      <c r="F65" s="6"/>
      <c r="G65" s="5"/>
      <c r="H65" s="5"/>
      <c r="I65" s="5"/>
      <c r="J65" s="7"/>
    </row>
    <row r="66">
      <c r="B66" s="4"/>
      <c r="C66" s="5"/>
      <c r="D66" s="5"/>
      <c r="E66" s="6"/>
      <c r="F66" s="6"/>
      <c r="G66" s="5"/>
      <c r="H66" s="5"/>
      <c r="I66" s="5"/>
      <c r="J66" s="7"/>
    </row>
    <row r="67">
      <c r="B67" s="4"/>
      <c r="C67" s="5"/>
      <c r="D67" s="5"/>
      <c r="E67" s="6"/>
      <c r="F67" s="6"/>
      <c r="G67" s="5"/>
      <c r="H67" s="5"/>
      <c r="I67" s="5"/>
      <c r="J67" s="7"/>
    </row>
    <row r="68">
      <c r="B68" s="4"/>
      <c r="C68" s="5"/>
      <c r="D68" s="5"/>
      <c r="E68" s="6"/>
      <c r="F68" s="6"/>
      <c r="G68" s="5"/>
      <c r="H68" s="5"/>
      <c r="I68" s="5"/>
      <c r="J68" s="7"/>
    </row>
    <row r="69">
      <c r="B69" s="4"/>
      <c r="C69" s="5"/>
      <c r="D69" s="5"/>
      <c r="E69" s="6"/>
      <c r="F69" s="6"/>
      <c r="G69" s="5"/>
      <c r="H69" s="5"/>
      <c r="I69" s="5"/>
      <c r="J69" s="7"/>
    </row>
    <row r="70">
      <c r="B70" s="4"/>
      <c r="C70" s="5"/>
      <c r="D70" s="5"/>
      <c r="E70" s="6"/>
      <c r="F70" s="6"/>
      <c r="G70" s="5"/>
      <c r="H70" s="5"/>
      <c r="I70" s="5"/>
      <c r="J70" s="7"/>
    </row>
    <row r="71">
      <c r="B71" s="4"/>
      <c r="C71" s="5"/>
      <c r="D71" s="5"/>
      <c r="E71" s="6"/>
      <c r="F71" s="6"/>
      <c r="G71" s="5"/>
      <c r="H71" s="5"/>
      <c r="I71" s="5"/>
      <c r="J71" s="7"/>
    </row>
    <row r="72">
      <c r="B72" s="4"/>
      <c r="C72" s="5"/>
      <c r="D72" s="5"/>
      <c r="E72" s="6"/>
      <c r="F72" s="6"/>
      <c r="G72" s="5"/>
      <c r="H72" s="5"/>
      <c r="I72" s="5"/>
      <c r="J72" s="7"/>
    </row>
    <row r="73">
      <c r="B73" s="4"/>
      <c r="C73" s="5"/>
      <c r="D73" s="5"/>
      <c r="E73" s="6"/>
      <c r="F73" s="6"/>
      <c r="G73" s="5"/>
      <c r="H73" s="5"/>
      <c r="I73" s="5"/>
      <c r="J73" s="7"/>
    </row>
    <row r="74">
      <c r="B74" s="4"/>
      <c r="C74" s="5"/>
      <c r="D74" s="5"/>
      <c r="E74" s="6"/>
      <c r="F74" s="6"/>
      <c r="G74" s="5"/>
      <c r="H74" s="5"/>
      <c r="I74" s="5"/>
      <c r="J74" s="7"/>
    </row>
    <row r="75">
      <c r="B75" s="4"/>
      <c r="C75" s="5"/>
      <c r="D75" s="5"/>
      <c r="E75" s="6"/>
      <c r="F75" s="6"/>
      <c r="G75" s="5"/>
      <c r="H75" s="5"/>
      <c r="I75" s="5"/>
      <c r="J75" s="7"/>
    </row>
    <row r="76">
      <c r="B76" s="4"/>
      <c r="C76" s="5"/>
      <c r="D76" s="5"/>
      <c r="E76" s="6"/>
      <c r="F76" s="6"/>
      <c r="G76" s="5"/>
      <c r="H76" s="5"/>
      <c r="I76" s="5"/>
      <c r="J76" s="7"/>
    </row>
    <row r="77">
      <c r="B77" s="4"/>
      <c r="C77" s="5"/>
      <c r="D77" s="5"/>
      <c r="E77" s="6"/>
      <c r="F77" s="6"/>
      <c r="G77" s="5"/>
      <c r="H77" s="5"/>
      <c r="I77" s="5"/>
      <c r="J77" s="7"/>
    </row>
    <row r="78">
      <c r="B78" s="4"/>
      <c r="C78" s="5"/>
      <c r="D78" s="5"/>
      <c r="E78" s="6"/>
      <c r="F78" s="6"/>
      <c r="G78" s="5"/>
      <c r="H78" s="5"/>
      <c r="I78" s="5"/>
      <c r="J78" s="7"/>
    </row>
    <row r="79">
      <c r="B79" s="4"/>
      <c r="C79" s="5"/>
      <c r="D79" s="5"/>
      <c r="E79" s="6"/>
      <c r="F79" s="6"/>
      <c r="G79" s="5"/>
      <c r="H79" s="5"/>
      <c r="I79" s="5"/>
      <c r="J79" s="7"/>
    </row>
    <row r="80">
      <c r="B80" s="4"/>
      <c r="C80" s="5"/>
      <c r="D80" s="5"/>
      <c r="E80" s="6"/>
      <c r="F80" s="6"/>
      <c r="G80" s="5"/>
      <c r="H80" s="5"/>
      <c r="I80" s="5"/>
      <c r="J80" s="7"/>
    </row>
    <row r="81">
      <c r="B81" s="4"/>
      <c r="C81" s="5"/>
      <c r="D81" s="5"/>
      <c r="E81" s="6"/>
      <c r="F81" s="6"/>
      <c r="G81" s="5"/>
      <c r="H81" s="5"/>
      <c r="I81" s="5"/>
      <c r="J81" s="7"/>
    </row>
    <row r="82">
      <c r="B82" s="4"/>
      <c r="C82" s="5"/>
      <c r="D82" s="5"/>
      <c r="E82" s="6"/>
      <c r="F82" s="6"/>
      <c r="G82" s="5"/>
      <c r="H82" s="5"/>
      <c r="I82" s="5"/>
      <c r="J82" s="7"/>
    </row>
    <row r="83">
      <c r="B83" s="4"/>
      <c r="C83" s="5"/>
      <c r="D83" s="5"/>
      <c r="E83" s="6"/>
      <c r="F83" s="6"/>
      <c r="G83" s="5"/>
      <c r="H83" s="5"/>
      <c r="I83" s="5"/>
      <c r="J83" s="7"/>
    </row>
    <row r="84">
      <c r="B84" s="4"/>
      <c r="C84" s="5"/>
      <c r="D84" s="5"/>
      <c r="E84" s="6"/>
      <c r="F84" s="6"/>
      <c r="G84" s="5"/>
      <c r="H84" s="5"/>
      <c r="I84" s="5"/>
      <c r="J84" s="7"/>
    </row>
    <row r="85">
      <c r="B85" s="4"/>
      <c r="C85" s="5"/>
      <c r="D85" s="5"/>
      <c r="E85" s="6"/>
      <c r="F85" s="6"/>
      <c r="G85" s="5"/>
      <c r="H85" s="5"/>
      <c r="I85" s="5"/>
      <c r="J85" s="7"/>
    </row>
    <row r="86">
      <c r="B86" s="4"/>
      <c r="C86" s="5"/>
      <c r="D86" s="5"/>
      <c r="E86" s="6"/>
      <c r="F86" s="6"/>
      <c r="G86" s="5"/>
      <c r="H86" s="5"/>
      <c r="I86" s="5"/>
      <c r="J86" s="7"/>
    </row>
    <row r="87">
      <c r="B87" s="4"/>
      <c r="C87" s="5"/>
      <c r="D87" s="5"/>
      <c r="E87" s="6"/>
      <c r="F87" s="6"/>
      <c r="G87" s="5"/>
      <c r="H87" s="5"/>
      <c r="I87" s="5"/>
      <c r="J87" s="7"/>
    </row>
    <row r="88">
      <c r="B88" s="4"/>
      <c r="C88" s="5"/>
      <c r="D88" s="5"/>
      <c r="E88" s="6"/>
      <c r="F88" s="6"/>
      <c r="G88" s="5"/>
      <c r="H88" s="5"/>
      <c r="I88" s="5"/>
      <c r="J88" s="7"/>
    </row>
    <row r="89">
      <c r="B89" s="4"/>
      <c r="C89" s="5"/>
      <c r="D89" s="5"/>
      <c r="E89" s="6"/>
      <c r="F89" s="6"/>
      <c r="G89" s="5"/>
      <c r="H89" s="5"/>
      <c r="I89" s="5"/>
      <c r="J89" s="7"/>
    </row>
    <row r="90">
      <c r="B90" s="4"/>
      <c r="C90" s="5"/>
      <c r="D90" s="5"/>
      <c r="E90" s="6"/>
      <c r="F90" s="6"/>
      <c r="G90" s="5"/>
      <c r="H90" s="5"/>
      <c r="I90" s="5"/>
      <c r="J90" s="7"/>
    </row>
    <row r="91">
      <c r="B91" s="4"/>
      <c r="C91" s="5"/>
      <c r="D91" s="5"/>
      <c r="E91" s="6"/>
      <c r="F91" s="6"/>
      <c r="G91" s="5"/>
      <c r="H91" s="5"/>
      <c r="I91" s="5"/>
      <c r="J91" s="7"/>
    </row>
    <row r="92">
      <c r="B92" s="4"/>
      <c r="C92" s="5"/>
      <c r="D92" s="5"/>
      <c r="E92" s="6"/>
      <c r="F92" s="6"/>
      <c r="G92" s="5"/>
      <c r="H92" s="5"/>
      <c r="I92" s="5"/>
      <c r="J92" s="7"/>
    </row>
    <row r="93">
      <c r="B93" s="4"/>
      <c r="C93" s="5"/>
      <c r="D93" s="5"/>
      <c r="E93" s="6"/>
      <c r="F93" s="6"/>
      <c r="G93" s="5"/>
      <c r="H93" s="5"/>
      <c r="I93" s="5"/>
      <c r="J93" s="7"/>
    </row>
    <row r="94">
      <c r="B94" s="4"/>
      <c r="C94" s="5"/>
      <c r="D94" s="5"/>
      <c r="E94" s="6"/>
      <c r="F94" s="6"/>
      <c r="G94" s="5"/>
      <c r="H94" s="5"/>
      <c r="I94" s="5"/>
      <c r="J94" s="7"/>
    </row>
    <row r="95">
      <c r="B95" s="4"/>
      <c r="C95" s="5"/>
      <c r="D95" s="5"/>
      <c r="E95" s="6"/>
      <c r="F95" s="6"/>
      <c r="G95" s="5"/>
      <c r="H95" s="5"/>
      <c r="I95" s="5"/>
      <c r="J95" s="7"/>
    </row>
    <row r="96">
      <c r="B96" s="4"/>
      <c r="C96" s="5"/>
      <c r="D96" s="5"/>
      <c r="E96" s="6"/>
      <c r="F96" s="6"/>
      <c r="G96" s="5"/>
      <c r="H96" s="5"/>
      <c r="I96" s="5"/>
      <c r="J96" s="7"/>
    </row>
    <row r="97">
      <c r="B97" s="4"/>
      <c r="C97" s="5"/>
      <c r="D97" s="5"/>
      <c r="E97" s="6"/>
      <c r="F97" s="6"/>
      <c r="G97" s="5"/>
      <c r="H97" s="5"/>
      <c r="I97" s="5"/>
      <c r="J97" s="7"/>
    </row>
    <row r="98">
      <c r="B98" s="4"/>
      <c r="C98" s="5"/>
      <c r="D98" s="5"/>
      <c r="E98" s="6"/>
      <c r="F98" s="6"/>
      <c r="G98" s="5"/>
      <c r="H98" s="5"/>
      <c r="I98" s="5"/>
      <c r="J98" s="7"/>
    </row>
    <row r="99">
      <c r="B99" s="4"/>
      <c r="C99" s="5"/>
      <c r="D99" s="5"/>
      <c r="E99" s="6"/>
      <c r="F99" s="6"/>
      <c r="G99" s="5"/>
      <c r="H99" s="5"/>
      <c r="I99" s="5"/>
      <c r="J99" s="7"/>
    </row>
    <row r="100">
      <c r="B100" s="4"/>
      <c r="C100" s="5"/>
      <c r="D100" s="5"/>
      <c r="E100" s="6"/>
      <c r="F100" s="6"/>
      <c r="G100" s="5"/>
      <c r="H100" s="5"/>
      <c r="I100" s="5"/>
      <c r="J100" s="7"/>
    </row>
    <row r="101">
      <c r="B101" s="4"/>
      <c r="C101" s="5"/>
      <c r="D101" s="5"/>
      <c r="E101" s="6"/>
      <c r="F101" s="6"/>
      <c r="G101" s="5"/>
      <c r="H101" s="5"/>
      <c r="I101" s="5"/>
      <c r="J101" s="7"/>
    </row>
    <row r="102">
      <c r="B102" s="4"/>
      <c r="C102" s="5"/>
      <c r="D102" s="5"/>
      <c r="E102" s="6"/>
      <c r="F102" s="6"/>
      <c r="G102" s="5"/>
      <c r="H102" s="5"/>
      <c r="I102" s="5"/>
      <c r="J102" s="7"/>
    </row>
    <row r="103">
      <c r="B103" s="4"/>
      <c r="C103" s="5"/>
      <c r="D103" s="5"/>
      <c r="E103" s="6"/>
      <c r="F103" s="6"/>
      <c r="G103" s="5"/>
      <c r="H103" s="5"/>
      <c r="I103" s="5"/>
      <c r="J103" s="7"/>
    </row>
    <row r="104">
      <c r="B104" s="4"/>
      <c r="C104" s="5"/>
      <c r="D104" s="5"/>
      <c r="E104" s="6"/>
      <c r="F104" s="6"/>
      <c r="G104" s="5"/>
      <c r="H104" s="5"/>
      <c r="I104" s="5"/>
      <c r="J104" s="7"/>
    </row>
    <row r="105">
      <c r="B105" s="4"/>
      <c r="C105" s="5"/>
      <c r="D105" s="5"/>
      <c r="E105" s="6"/>
      <c r="F105" s="6"/>
      <c r="G105" s="5"/>
      <c r="H105" s="5"/>
      <c r="I105" s="5"/>
      <c r="J105" s="7"/>
    </row>
    <row r="106">
      <c r="B106" s="4"/>
      <c r="C106" s="5"/>
      <c r="D106" s="5"/>
      <c r="E106" s="6"/>
      <c r="F106" s="6"/>
      <c r="G106" s="5"/>
      <c r="H106" s="5"/>
      <c r="I106" s="5"/>
      <c r="J106" s="7"/>
    </row>
    <row r="107">
      <c r="B107" s="4"/>
      <c r="C107" s="5"/>
      <c r="D107" s="5"/>
      <c r="E107" s="6"/>
      <c r="F107" s="6"/>
      <c r="G107" s="5"/>
      <c r="H107" s="5"/>
      <c r="I107" s="5"/>
      <c r="J107" s="7"/>
    </row>
    <row r="108">
      <c r="B108" s="4"/>
      <c r="C108" s="5"/>
      <c r="D108" s="5"/>
      <c r="E108" s="6"/>
      <c r="F108" s="6"/>
      <c r="G108" s="5"/>
      <c r="H108" s="5"/>
      <c r="I108" s="5"/>
      <c r="J108" s="7"/>
    </row>
    <row r="109">
      <c r="B109" s="4"/>
      <c r="C109" s="5"/>
      <c r="D109" s="5"/>
      <c r="E109" s="6"/>
      <c r="F109" s="6"/>
      <c r="G109" s="5"/>
      <c r="H109" s="5"/>
      <c r="I109" s="5"/>
      <c r="J109" s="7"/>
    </row>
    <row r="110">
      <c r="B110" s="4"/>
      <c r="C110" s="5"/>
      <c r="D110" s="5"/>
      <c r="E110" s="6"/>
      <c r="F110" s="6"/>
      <c r="G110" s="5"/>
      <c r="H110" s="5"/>
      <c r="I110" s="5"/>
      <c r="J110" s="7"/>
    </row>
    <row r="111">
      <c r="B111" s="4"/>
      <c r="C111" s="5"/>
      <c r="D111" s="5"/>
      <c r="E111" s="6"/>
      <c r="F111" s="6"/>
      <c r="G111" s="5"/>
      <c r="H111" s="5"/>
      <c r="I111" s="5"/>
      <c r="J111" s="7"/>
    </row>
    <row r="112">
      <c r="B112" s="4"/>
      <c r="C112" s="5"/>
      <c r="D112" s="5"/>
      <c r="E112" s="6"/>
      <c r="F112" s="6"/>
      <c r="G112" s="5"/>
      <c r="H112" s="5"/>
      <c r="I112" s="5"/>
      <c r="J112" s="7"/>
    </row>
    <row r="113">
      <c r="B113" s="4"/>
      <c r="C113" s="5"/>
      <c r="D113" s="5"/>
      <c r="E113" s="6"/>
      <c r="F113" s="6"/>
      <c r="G113" s="5"/>
      <c r="H113" s="5"/>
      <c r="I113" s="5"/>
      <c r="J113" s="7"/>
    </row>
    <row r="114">
      <c r="B114" s="4"/>
      <c r="C114" s="5"/>
      <c r="D114" s="5"/>
      <c r="E114" s="6"/>
      <c r="F114" s="6"/>
      <c r="G114" s="5"/>
      <c r="H114" s="5"/>
      <c r="I114" s="5"/>
      <c r="J114" s="7"/>
    </row>
    <row r="115">
      <c r="B115" s="4"/>
      <c r="C115" s="5"/>
      <c r="D115" s="5"/>
      <c r="E115" s="6"/>
      <c r="F115" s="6"/>
      <c r="G115" s="5"/>
      <c r="H115" s="5"/>
      <c r="I115" s="5"/>
      <c r="J115" s="7"/>
    </row>
    <row r="116">
      <c r="B116" s="4"/>
      <c r="C116" s="5"/>
      <c r="D116" s="5"/>
      <c r="E116" s="6"/>
      <c r="F116" s="6"/>
      <c r="G116" s="5"/>
      <c r="H116" s="5"/>
      <c r="I116" s="5"/>
      <c r="J116" s="7"/>
    </row>
    <row r="117">
      <c r="B117" s="4"/>
      <c r="C117" s="5"/>
      <c r="D117" s="5"/>
      <c r="E117" s="6"/>
      <c r="F117" s="6"/>
      <c r="G117" s="5"/>
      <c r="H117" s="5"/>
      <c r="I117" s="5"/>
      <c r="J117" s="7"/>
    </row>
    <row r="118">
      <c r="B118" s="4"/>
      <c r="C118" s="5"/>
      <c r="D118" s="5"/>
      <c r="E118" s="6"/>
      <c r="F118" s="6"/>
      <c r="G118" s="5"/>
      <c r="H118" s="5"/>
      <c r="I118" s="5"/>
      <c r="J118" s="7"/>
    </row>
    <row r="119">
      <c r="B119" s="4"/>
      <c r="C119" s="5"/>
      <c r="D119" s="5"/>
      <c r="E119" s="6"/>
      <c r="F119" s="6"/>
      <c r="G119" s="5"/>
      <c r="H119" s="5"/>
      <c r="I119" s="5"/>
      <c r="J119" s="7"/>
    </row>
    <row r="120">
      <c r="B120" s="4"/>
      <c r="C120" s="5"/>
      <c r="D120" s="5"/>
      <c r="E120" s="6"/>
      <c r="F120" s="6"/>
      <c r="G120" s="5"/>
      <c r="H120" s="5"/>
      <c r="I120" s="5"/>
      <c r="J120" s="7"/>
    </row>
    <row r="121">
      <c r="B121" s="4"/>
      <c r="C121" s="5"/>
      <c r="D121" s="5"/>
      <c r="E121" s="6"/>
      <c r="F121" s="6"/>
      <c r="G121" s="5"/>
      <c r="H121" s="5"/>
      <c r="I121" s="5"/>
      <c r="J121" s="7"/>
    </row>
    <row r="122">
      <c r="B122" s="4"/>
      <c r="C122" s="5"/>
      <c r="D122" s="5"/>
      <c r="E122" s="6"/>
      <c r="F122" s="6"/>
      <c r="G122" s="5"/>
      <c r="H122" s="5"/>
      <c r="I122" s="5"/>
      <c r="J122" s="7"/>
    </row>
    <row r="123">
      <c r="B123" s="4"/>
      <c r="C123" s="5"/>
      <c r="D123" s="5"/>
      <c r="E123" s="6"/>
      <c r="F123" s="6"/>
      <c r="G123" s="5"/>
      <c r="H123" s="5"/>
      <c r="I123" s="5"/>
      <c r="J123" s="7"/>
    </row>
    <row r="124">
      <c r="B124" s="4"/>
      <c r="C124" s="5"/>
      <c r="D124" s="5"/>
      <c r="E124" s="6"/>
      <c r="F124" s="6"/>
      <c r="G124" s="5"/>
      <c r="H124" s="5"/>
      <c r="I124" s="5"/>
      <c r="J124" s="7"/>
    </row>
    <row r="125">
      <c r="B125" s="4"/>
      <c r="C125" s="5"/>
      <c r="D125" s="5"/>
      <c r="E125" s="6"/>
      <c r="F125" s="6"/>
      <c r="G125" s="5"/>
      <c r="H125" s="5"/>
      <c r="I125" s="5"/>
      <c r="J125" s="7"/>
    </row>
    <row r="126">
      <c r="B126" s="4"/>
      <c r="C126" s="5"/>
      <c r="D126" s="5"/>
      <c r="E126" s="6"/>
      <c r="F126" s="6"/>
      <c r="G126" s="5"/>
      <c r="H126" s="5"/>
      <c r="I126" s="5"/>
      <c r="J126" s="7"/>
    </row>
    <row r="127">
      <c r="B127" s="4"/>
      <c r="C127" s="5"/>
      <c r="D127" s="5"/>
      <c r="E127" s="6"/>
      <c r="F127" s="6"/>
      <c r="G127" s="5"/>
      <c r="H127" s="5"/>
      <c r="I127" s="5"/>
      <c r="J127" s="7"/>
    </row>
    <row r="128">
      <c r="B128" s="4"/>
      <c r="C128" s="5"/>
      <c r="D128" s="5"/>
      <c r="E128" s="6"/>
      <c r="F128" s="6"/>
      <c r="G128" s="5"/>
      <c r="H128" s="5"/>
      <c r="I128" s="5"/>
      <c r="J128" s="7"/>
    </row>
    <row r="129">
      <c r="B129" s="4"/>
      <c r="C129" s="5"/>
      <c r="D129" s="5"/>
      <c r="E129" s="6"/>
      <c r="F129" s="6"/>
      <c r="G129" s="5"/>
      <c r="H129" s="5"/>
      <c r="I129" s="5"/>
      <c r="J129" s="7"/>
    </row>
    <row r="130">
      <c r="B130" s="4"/>
      <c r="C130" s="5"/>
      <c r="D130" s="5"/>
      <c r="E130" s="6"/>
      <c r="F130" s="6"/>
      <c r="G130" s="5"/>
      <c r="H130" s="5"/>
      <c r="I130" s="5"/>
      <c r="J130" s="7"/>
    </row>
    <row r="131">
      <c r="B131" s="4"/>
      <c r="C131" s="5"/>
      <c r="D131" s="5"/>
      <c r="E131" s="6"/>
      <c r="F131" s="6"/>
      <c r="G131" s="5"/>
      <c r="H131" s="5"/>
      <c r="I131" s="5"/>
      <c r="J131" s="7"/>
    </row>
    <row r="132">
      <c r="B132" s="4"/>
      <c r="C132" s="5"/>
      <c r="D132" s="5"/>
      <c r="E132" s="6"/>
      <c r="F132" s="6"/>
      <c r="G132" s="5"/>
      <c r="H132" s="5"/>
      <c r="I132" s="5"/>
      <c r="J132" s="7"/>
    </row>
    <row r="133">
      <c r="B133" s="4"/>
      <c r="C133" s="5"/>
      <c r="D133" s="5"/>
      <c r="E133" s="6"/>
      <c r="F133" s="6"/>
      <c r="G133" s="5"/>
      <c r="H133" s="5"/>
      <c r="I133" s="5"/>
      <c r="J133" s="7"/>
    </row>
    <row r="134">
      <c r="B134" s="4"/>
      <c r="C134" s="5"/>
      <c r="D134" s="5"/>
      <c r="E134" s="6"/>
      <c r="F134" s="6"/>
      <c r="G134" s="5"/>
      <c r="H134" s="5"/>
      <c r="I134" s="5"/>
      <c r="J134" s="7"/>
    </row>
    <row r="135">
      <c r="B135" s="4"/>
      <c r="C135" s="5"/>
      <c r="D135" s="5"/>
      <c r="E135" s="6"/>
      <c r="F135" s="6"/>
      <c r="G135" s="5"/>
      <c r="H135" s="5"/>
      <c r="I135" s="5"/>
      <c r="J135" s="7"/>
    </row>
    <row r="136">
      <c r="B136" s="4"/>
      <c r="C136" s="5"/>
      <c r="D136" s="5"/>
      <c r="E136" s="6"/>
      <c r="F136" s="6"/>
      <c r="G136" s="5"/>
      <c r="H136" s="5"/>
      <c r="I136" s="5"/>
      <c r="J136" s="7"/>
    </row>
    <row r="137">
      <c r="B137" s="4"/>
      <c r="C137" s="5"/>
      <c r="D137" s="5"/>
      <c r="E137" s="6"/>
      <c r="F137" s="6"/>
      <c r="G137" s="5"/>
      <c r="H137" s="5"/>
      <c r="I137" s="5"/>
      <c r="J137" s="7"/>
    </row>
    <row r="138">
      <c r="B138" s="4"/>
      <c r="C138" s="5"/>
      <c r="D138" s="5"/>
      <c r="E138" s="6"/>
      <c r="F138" s="6"/>
      <c r="G138" s="5"/>
      <c r="H138" s="5"/>
      <c r="I138" s="5"/>
      <c r="J138" s="7"/>
    </row>
    <row r="139">
      <c r="B139" s="4"/>
      <c r="C139" s="5"/>
      <c r="D139" s="5"/>
      <c r="E139" s="6"/>
      <c r="F139" s="6"/>
      <c r="G139" s="5"/>
      <c r="H139" s="5"/>
      <c r="I139" s="5"/>
      <c r="J139" s="7"/>
    </row>
    <row r="140">
      <c r="B140" s="4"/>
      <c r="C140" s="5"/>
      <c r="D140" s="5"/>
      <c r="E140" s="6"/>
      <c r="F140" s="6"/>
      <c r="G140" s="5"/>
      <c r="H140" s="5"/>
      <c r="I140" s="5"/>
      <c r="J140" s="7"/>
    </row>
    <row r="141">
      <c r="B141" s="4"/>
      <c r="C141" s="5"/>
      <c r="D141" s="5"/>
      <c r="E141" s="6"/>
      <c r="F141" s="6"/>
      <c r="G141" s="5"/>
      <c r="H141" s="5"/>
      <c r="I141" s="5"/>
      <c r="J141" s="7"/>
    </row>
    <row r="142">
      <c r="B142" s="4"/>
      <c r="C142" s="5"/>
      <c r="D142" s="5"/>
      <c r="E142" s="6"/>
      <c r="F142" s="6"/>
      <c r="G142" s="5"/>
      <c r="H142" s="5"/>
      <c r="I142" s="5"/>
      <c r="J142" s="7"/>
    </row>
    <row r="143">
      <c r="B143" s="4"/>
      <c r="C143" s="5"/>
      <c r="D143" s="5"/>
      <c r="E143" s="6"/>
      <c r="F143" s="6"/>
      <c r="G143" s="5"/>
      <c r="H143" s="5"/>
      <c r="I143" s="5"/>
      <c r="J143" s="7"/>
    </row>
    <row r="144">
      <c r="B144" s="4"/>
      <c r="C144" s="5"/>
      <c r="D144" s="5"/>
      <c r="E144" s="6"/>
      <c r="F144" s="6"/>
      <c r="G144" s="5"/>
      <c r="H144" s="5"/>
      <c r="I144" s="5"/>
      <c r="J144" s="7"/>
    </row>
    <row r="145">
      <c r="B145" s="4"/>
      <c r="C145" s="5"/>
      <c r="D145" s="5"/>
      <c r="E145" s="6"/>
      <c r="F145" s="6"/>
      <c r="G145" s="5"/>
      <c r="H145" s="5"/>
      <c r="I145" s="5"/>
      <c r="J145" s="7"/>
    </row>
    <row r="146">
      <c r="B146" s="4"/>
      <c r="C146" s="5"/>
      <c r="D146" s="5"/>
      <c r="E146" s="6"/>
      <c r="F146" s="6"/>
      <c r="G146" s="5"/>
      <c r="H146" s="5"/>
      <c r="I146" s="5"/>
      <c r="J146" s="7"/>
    </row>
    <row r="147">
      <c r="B147" s="4"/>
      <c r="C147" s="5"/>
      <c r="D147" s="5"/>
      <c r="E147" s="6"/>
      <c r="F147" s="6"/>
      <c r="G147" s="5"/>
      <c r="H147" s="5"/>
      <c r="I147" s="5"/>
      <c r="J147" s="7"/>
    </row>
    <row r="148">
      <c r="B148" s="4"/>
      <c r="C148" s="5"/>
      <c r="D148" s="5"/>
      <c r="E148" s="6"/>
      <c r="F148" s="6"/>
      <c r="G148" s="5"/>
      <c r="H148" s="5"/>
      <c r="I148" s="5"/>
      <c r="J148" s="7"/>
    </row>
    <row r="149">
      <c r="B149" s="4"/>
      <c r="C149" s="5"/>
      <c r="D149" s="5"/>
      <c r="E149" s="6"/>
      <c r="F149" s="6"/>
      <c r="G149" s="5"/>
      <c r="H149" s="5"/>
      <c r="I149" s="5"/>
      <c r="J149" s="7"/>
    </row>
    <row r="150">
      <c r="B150" s="4"/>
      <c r="C150" s="5"/>
      <c r="D150" s="5"/>
      <c r="E150" s="6"/>
      <c r="F150" s="6"/>
      <c r="G150" s="5"/>
      <c r="H150" s="5"/>
      <c r="I150" s="5"/>
      <c r="J150" s="7"/>
    </row>
    <row r="151">
      <c r="B151" s="4"/>
      <c r="C151" s="5"/>
      <c r="D151" s="5"/>
      <c r="E151" s="6"/>
      <c r="F151" s="6"/>
      <c r="G151" s="5"/>
      <c r="H151" s="5"/>
      <c r="I151" s="5"/>
      <c r="J151" s="7"/>
    </row>
    <row r="152">
      <c r="B152" s="4"/>
      <c r="C152" s="5"/>
      <c r="D152" s="5"/>
      <c r="E152" s="6"/>
      <c r="F152" s="6"/>
      <c r="G152" s="5"/>
      <c r="H152" s="5"/>
      <c r="I152" s="5"/>
      <c r="J152" s="7"/>
    </row>
    <row r="153">
      <c r="B153" s="4"/>
      <c r="C153" s="5"/>
      <c r="D153" s="5"/>
      <c r="E153" s="6"/>
      <c r="F153" s="6"/>
      <c r="G153" s="5"/>
      <c r="H153" s="5"/>
      <c r="I153" s="5"/>
      <c r="J153" s="7"/>
    </row>
    <row r="154">
      <c r="B154" s="4"/>
      <c r="C154" s="5"/>
      <c r="D154" s="5"/>
      <c r="E154" s="6"/>
      <c r="F154" s="6"/>
      <c r="G154" s="5"/>
      <c r="H154" s="5"/>
      <c r="I154" s="5"/>
      <c r="J154" s="7"/>
    </row>
    <row r="155">
      <c r="B155" s="4"/>
      <c r="C155" s="5"/>
      <c r="D155" s="5"/>
      <c r="E155" s="6"/>
      <c r="F155" s="6"/>
      <c r="G155" s="5"/>
      <c r="H155" s="5"/>
      <c r="I155" s="5"/>
      <c r="J155" s="7"/>
    </row>
    <row r="156">
      <c r="B156" s="4"/>
      <c r="C156" s="5"/>
      <c r="D156" s="5"/>
      <c r="E156" s="6"/>
      <c r="F156" s="6"/>
      <c r="G156" s="5"/>
      <c r="H156" s="5"/>
      <c r="I156" s="5"/>
      <c r="J156" s="7"/>
    </row>
    <row r="157">
      <c r="B157" s="4"/>
      <c r="C157" s="5"/>
      <c r="D157" s="5"/>
      <c r="E157" s="6"/>
      <c r="F157" s="6"/>
      <c r="G157" s="5"/>
      <c r="H157" s="5"/>
      <c r="I157" s="5"/>
      <c r="J157" s="7"/>
    </row>
    <row r="158">
      <c r="B158" s="4"/>
      <c r="C158" s="5"/>
      <c r="D158" s="5"/>
      <c r="E158" s="6"/>
      <c r="F158" s="6"/>
      <c r="G158" s="5"/>
      <c r="H158" s="5"/>
      <c r="I158" s="5"/>
      <c r="J158" s="7"/>
    </row>
    <row r="159">
      <c r="B159" s="4"/>
      <c r="C159" s="5"/>
      <c r="D159" s="5"/>
      <c r="E159" s="6"/>
      <c r="F159" s="6"/>
      <c r="G159" s="5"/>
      <c r="H159" s="5"/>
      <c r="I159" s="5"/>
      <c r="J159" s="7"/>
    </row>
    <row r="160">
      <c r="B160" s="4"/>
      <c r="C160" s="5"/>
      <c r="D160" s="5"/>
      <c r="E160" s="6"/>
      <c r="F160" s="6"/>
      <c r="G160" s="5"/>
      <c r="H160" s="5"/>
      <c r="I160" s="5"/>
      <c r="J160" s="7"/>
    </row>
    <row r="161">
      <c r="B161" s="4"/>
      <c r="C161" s="5"/>
      <c r="D161" s="5"/>
      <c r="E161" s="6"/>
      <c r="F161" s="6"/>
      <c r="G161" s="5"/>
      <c r="H161" s="5"/>
      <c r="I161" s="5"/>
      <c r="J161" s="7"/>
    </row>
    <row r="162">
      <c r="B162" s="4"/>
      <c r="C162" s="5"/>
      <c r="D162" s="5"/>
      <c r="E162" s="6"/>
      <c r="F162" s="6"/>
      <c r="G162" s="5"/>
      <c r="H162" s="5"/>
      <c r="I162" s="5"/>
      <c r="J162" s="7"/>
    </row>
    <row r="163">
      <c r="B163" s="4"/>
      <c r="C163" s="5"/>
      <c r="D163" s="5"/>
      <c r="E163" s="6"/>
      <c r="F163" s="6"/>
      <c r="G163" s="5"/>
      <c r="H163" s="5"/>
      <c r="I163" s="5"/>
      <c r="J163" s="7"/>
    </row>
    <row r="164">
      <c r="B164" s="4"/>
      <c r="C164" s="5"/>
      <c r="D164" s="5"/>
      <c r="E164" s="6"/>
      <c r="F164" s="6"/>
      <c r="G164" s="5"/>
      <c r="H164" s="5"/>
      <c r="I164" s="5"/>
      <c r="J164" s="7"/>
    </row>
    <row r="165">
      <c r="B165" s="4"/>
      <c r="C165" s="5"/>
      <c r="D165" s="5"/>
      <c r="E165" s="6"/>
      <c r="F165" s="6"/>
      <c r="G165" s="5"/>
      <c r="H165" s="5"/>
      <c r="I165" s="5"/>
      <c r="J165" s="7"/>
    </row>
    <row r="166">
      <c r="B166" s="4"/>
      <c r="C166" s="5"/>
      <c r="D166" s="5"/>
      <c r="E166" s="6"/>
      <c r="F166" s="6"/>
      <c r="G166" s="5"/>
      <c r="H166" s="5"/>
      <c r="I166" s="5"/>
      <c r="J166" s="7"/>
    </row>
    <row r="167">
      <c r="B167" s="4"/>
      <c r="C167" s="5"/>
      <c r="D167" s="5"/>
      <c r="E167" s="6"/>
      <c r="F167" s="6"/>
      <c r="G167" s="5"/>
      <c r="H167" s="5"/>
      <c r="I167" s="5"/>
      <c r="J167" s="7"/>
    </row>
    <row r="168">
      <c r="B168" s="4"/>
      <c r="C168" s="5"/>
      <c r="D168" s="5"/>
      <c r="E168" s="6"/>
      <c r="F168" s="6"/>
      <c r="G168" s="5"/>
      <c r="H168" s="5"/>
      <c r="I168" s="5"/>
      <c r="J168" s="7"/>
    </row>
    <row r="169">
      <c r="B169" s="4"/>
      <c r="C169" s="5"/>
      <c r="D169" s="5"/>
      <c r="E169" s="6"/>
      <c r="F169" s="6"/>
      <c r="G169" s="5"/>
      <c r="H169" s="5"/>
      <c r="I169" s="5"/>
      <c r="J169" s="7"/>
    </row>
    <row r="170">
      <c r="B170" s="4"/>
      <c r="C170" s="5"/>
      <c r="D170" s="5"/>
      <c r="E170" s="6"/>
      <c r="F170" s="6"/>
      <c r="G170" s="5"/>
      <c r="H170" s="5"/>
      <c r="I170" s="5"/>
      <c r="J170" s="7"/>
    </row>
    <row r="171">
      <c r="B171" s="4"/>
      <c r="C171" s="5"/>
      <c r="D171" s="5"/>
      <c r="E171" s="6"/>
      <c r="F171" s="6"/>
      <c r="G171" s="5"/>
      <c r="H171" s="5"/>
      <c r="I171" s="5"/>
      <c r="J171" s="7"/>
    </row>
    <row r="172">
      <c r="B172" s="4"/>
      <c r="C172" s="5"/>
      <c r="D172" s="5"/>
      <c r="E172" s="6"/>
      <c r="F172" s="6"/>
      <c r="G172" s="5"/>
      <c r="H172" s="5"/>
      <c r="I172" s="5"/>
      <c r="J172" s="7"/>
    </row>
    <row r="173">
      <c r="B173" s="4"/>
      <c r="C173" s="5"/>
      <c r="D173" s="5"/>
      <c r="E173" s="6"/>
      <c r="F173" s="6"/>
      <c r="G173" s="5"/>
      <c r="H173" s="5"/>
      <c r="I173" s="5"/>
      <c r="J173" s="7"/>
    </row>
    <row r="174">
      <c r="B174" s="4"/>
      <c r="C174" s="5"/>
      <c r="D174" s="5"/>
      <c r="E174" s="6"/>
      <c r="F174" s="6"/>
      <c r="G174" s="5"/>
      <c r="H174" s="5"/>
      <c r="I174" s="5"/>
      <c r="J174" s="7"/>
    </row>
    <row r="175">
      <c r="B175" s="4"/>
      <c r="C175" s="5"/>
      <c r="D175" s="5"/>
      <c r="E175" s="6"/>
      <c r="F175" s="6"/>
      <c r="G175" s="5"/>
      <c r="H175" s="5"/>
      <c r="I175" s="5"/>
      <c r="J175" s="7"/>
    </row>
    <row r="176">
      <c r="B176" s="4"/>
      <c r="C176" s="5"/>
      <c r="D176" s="5"/>
      <c r="E176" s="6"/>
      <c r="F176" s="6"/>
      <c r="G176" s="5"/>
      <c r="H176" s="5"/>
      <c r="I176" s="5"/>
      <c r="J176" s="7"/>
    </row>
    <row r="177">
      <c r="B177" s="4"/>
      <c r="C177" s="5"/>
      <c r="D177" s="5"/>
      <c r="E177" s="6"/>
      <c r="F177" s="6"/>
      <c r="G177" s="5"/>
      <c r="H177" s="5"/>
      <c r="I177" s="5"/>
      <c r="J177" s="7"/>
    </row>
    <row r="178">
      <c r="B178" s="4"/>
      <c r="C178" s="5"/>
      <c r="D178" s="5"/>
      <c r="E178" s="6"/>
      <c r="F178" s="6"/>
      <c r="G178" s="5"/>
      <c r="H178" s="5"/>
      <c r="I178" s="5"/>
      <c r="J178" s="7"/>
    </row>
    <row r="179">
      <c r="B179" s="4"/>
      <c r="C179" s="5"/>
      <c r="D179" s="5"/>
      <c r="E179" s="6"/>
      <c r="F179" s="6"/>
      <c r="G179" s="5"/>
      <c r="H179" s="5"/>
      <c r="I179" s="5"/>
      <c r="J179" s="7"/>
    </row>
    <row r="180">
      <c r="B180" s="4"/>
      <c r="C180" s="5"/>
      <c r="D180" s="5"/>
      <c r="E180" s="6"/>
      <c r="F180" s="6"/>
      <c r="G180" s="5"/>
      <c r="H180" s="5"/>
      <c r="I180" s="5"/>
      <c r="J180" s="7"/>
    </row>
    <row r="181">
      <c r="B181" s="4"/>
      <c r="C181" s="5"/>
      <c r="D181" s="5"/>
      <c r="E181" s="6"/>
      <c r="F181" s="6"/>
      <c r="G181" s="5"/>
      <c r="H181" s="5"/>
      <c r="I181" s="5"/>
      <c r="J181" s="7"/>
    </row>
    <row r="182">
      <c r="B182" s="4"/>
      <c r="C182" s="5"/>
      <c r="D182" s="5"/>
      <c r="E182" s="6"/>
      <c r="F182" s="6"/>
      <c r="G182" s="5"/>
      <c r="H182" s="5"/>
      <c r="I182" s="5"/>
      <c r="J182" s="7"/>
    </row>
    <row r="183">
      <c r="B183" s="4"/>
      <c r="C183" s="5"/>
      <c r="D183" s="5"/>
      <c r="E183" s="6"/>
      <c r="F183" s="6"/>
      <c r="G183" s="5"/>
      <c r="H183" s="5"/>
      <c r="I183" s="5"/>
      <c r="J183" s="7"/>
    </row>
    <row r="184">
      <c r="B184" s="4"/>
      <c r="C184" s="5"/>
      <c r="D184" s="5"/>
      <c r="E184" s="6"/>
      <c r="F184" s="6"/>
      <c r="G184" s="5"/>
      <c r="H184" s="5"/>
      <c r="I184" s="5"/>
      <c r="J184" s="7"/>
    </row>
    <row r="185">
      <c r="B185" s="4"/>
      <c r="C185" s="5"/>
      <c r="D185" s="5"/>
      <c r="E185" s="6"/>
      <c r="F185" s="6"/>
      <c r="G185" s="5"/>
      <c r="H185" s="5"/>
      <c r="I185" s="5"/>
      <c r="J185" s="7"/>
    </row>
    <row r="186">
      <c r="B186" s="4"/>
      <c r="C186" s="5"/>
      <c r="D186" s="5"/>
      <c r="E186" s="6"/>
      <c r="F186" s="6"/>
      <c r="G186" s="5"/>
      <c r="H186" s="5"/>
      <c r="I186" s="5"/>
      <c r="J186" s="7"/>
    </row>
    <row r="187">
      <c r="B187" s="4"/>
      <c r="C187" s="5"/>
      <c r="D187" s="5"/>
      <c r="E187" s="6"/>
      <c r="F187" s="6"/>
      <c r="G187" s="5"/>
      <c r="H187" s="5"/>
      <c r="I187" s="5"/>
      <c r="J187" s="7"/>
    </row>
    <row r="188">
      <c r="B188" s="4"/>
      <c r="C188" s="5"/>
      <c r="D188" s="5"/>
      <c r="E188" s="6"/>
      <c r="F188" s="6"/>
      <c r="G188" s="5"/>
      <c r="H188" s="5"/>
      <c r="I188" s="5"/>
      <c r="J188" s="7"/>
    </row>
    <row r="189">
      <c r="B189" s="4"/>
      <c r="C189" s="5"/>
      <c r="D189" s="5"/>
      <c r="E189" s="6"/>
      <c r="F189" s="6"/>
      <c r="G189" s="5"/>
      <c r="H189" s="5"/>
      <c r="I189" s="5"/>
      <c r="J189" s="7"/>
    </row>
    <row r="190">
      <c r="B190" s="4"/>
      <c r="C190" s="5"/>
      <c r="D190" s="5"/>
      <c r="E190" s="6"/>
      <c r="F190" s="6"/>
      <c r="G190" s="5"/>
      <c r="H190" s="5"/>
      <c r="I190" s="5"/>
      <c r="J190" s="7"/>
    </row>
    <row r="191">
      <c r="B191" s="4"/>
      <c r="C191" s="5"/>
      <c r="D191" s="5"/>
      <c r="E191" s="6"/>
      <c r="F191" s="6"/>
      <c r="G191" s="5"/>
      <c r="H191" s="5"/>
      <c r="I191" s="5"/>
      <c r="J191" s="7"/>
    </row>
    <row r="192">
      <c r="B192" s="4"/>
      <c r="C192" s="5"/>
      <c r="D192" s="5"/>
      <c r="E192" s="6"/>
      <c r="F192" s="6"/>
      <c r="G192" s="5"/>
      <c r="H192" s="5"/>
      <c r="I192" s="5"/>
      <c r="J192" s="7"/>
    </row>
    <row r="193">
      <c r="B193" s="4"/>
      <c r="C193" s="5"/>
      <c r="D193" s="5"/>
      <c r="E193" s="6"/>
      <c r="F193" s="6"/>
      <c r="G193" s="5"/>
      <c r="H193" s="5"/>
      <c r="I193" s="5"/>
      <c r="J193" s="7"/>
    </row>
    <row r="194">
      <c r="B194" s="4"/>
      <c r="C194" s="5"/>
      <c r="D194" s="5"/>
      <c r="E194" s="6"/>
      <c r="F194" s="6"/>
      <c r="G194" s="5"/>
      <c r="H194" s="5"/>
      <c r="I194" s="5"/>
      <c r="J194" s="7"/>
    </row>
    <row r="195">
      <c r="B195" s="4"/>
      <c r="C195" s="5"/>
      <c r="D195" s="5"/>
      <c r="E195" s="6"/>
      <c r="F195" s="6"/>
      <c r="G195" s="5"/>
      <c r="H195" s="5"/>
      <c r="I195" s="5"/>
      <c r="J195" s="7"/>
    </row>
    <row r="196">
      <c r="B196" s="4"/>
      <c r="C196" s="5"/>
      <c r="D196" s="5"/>
      <c r="E196" s="6"/>
      <c r="F196" s="6"/>
      <c r="G196" s="5"/>
      <c r="H196" s="5"/>
      <c r="I196" s="5"/>
      <c r="J196" s="7"/>
    </row>
    <row r="197">
      <c r="B197" s="4"/>
      <c r="C197" s="5"/>
      <c r="D197" s="5"/>
      <c r="E197" s="6"/>
      <c r="F197" s="6"/>
      <c r="G197" s="5"/>
      <c r="H197" s="5"/>
      <c r="I197" s="5"/>
      <c r="J197" s="7"/>
    </row>
    <row r="198">
      <c r="B198" s="4"/>
      <c r="C198" s="5"/>
      <c r="D198" s="5"/>
      <c r="E198" s="6"/>
      <c r="F198" s="6"/>
      <c r="G198" s="5"/>
      <c r="H198" s="5"/>
      <c r="I198" s="5"/>
      <c r="J198" s="7"/>
    </row>
    <row r="199">
      <c r="B199" s="4"/>
      <c r="C199" s="5"/>
      <c r="D199" s="5"/>
      <c r="E199" s="6"/>
      <c r="F199" s="6"/>
      <c r="G199" s="5"/>
      <c r="H199" s="5"/>
      <c r="I199" s="5"/>
      <c r="J199" s="7"/>
    </row>
    <row r="200">
      <c r="B200" s="4"/>
      <c r="C200" s="5"/>
      <c r="D200" s="5"/>
      <c r="E200" s="6"/>
      <c r="F200" s="6"/>
      <c r="G200" s="5"/>
      <c r="H200" s="5"/>
      <c r="I200" s="5"/>
      <c r="J200" s="7"/>
    </row>
    <row r="201">
      <c r="B201" s="4"/>
      <c r="C201" s="5"/>
      <c r="D201" s="5"/>
      <c r="E201" s="6"/>
      <c r="F201" s="6"/>
      <c r="G201" s="5"/>
      <c r="H201" s="5"/>
      <c r="I201" s="5"/>
      <c r="J201" s="7"/>
    </row>
    <row r="202">
      <c r="B202" s="4"/>
      <c r="C202" s="5"/>
      <c r="D202" s="5"/>
      <c r="E202" s="6"/>
      <c r="F202" s="6"/>
      <c r="G202" s="5"/>
      <c r="H202" s="5"/>
      <c r="I202" s="5"/>
      <c r="J202" s="7"/>
    </row>
    <row r="203">
      <c r="B203" s="4"/>
      <c r="C203" s="5"/>
      <c r="D203" s="5"/>
      <c r="E203" s="6"/>
      <c r="F203" s="6"/>
      <c r="G203" s="5"/>
      <c r="H203" s="5"/>
      <c r="I203" s="5"/>
      <c r="J203" s="7"/>
    </row>
    <row r="204">
      <c r="B204" s="4"/>
      <c r="C204" s="5"/>
      <c r="D204" s="5"/>
      <c r="E204" s="6"/>
      <c r="F204" s="6"/>
      <c r="G204" s="5"/>
      <c r="H204" s="5"/>
      <c r="I204" s="5"/>
      <c r="J204" s="7"/>
    </row>
    <row r="205">
      <c r="B205" s="4"/>
      <c r="C205" s="5"/>
      <c r="D205" s="5"/>
      <c r="E205" s="6"/>
      <c r="F205" s="6"/>
      <c r="G205" s="5"/>
      <c r="H205" s="5"/>
      <c r="I205" s="5"/>
      <c r="J205" s="7"/>
    </row>
    <row r="206">
      <c r="B206" s="4"/>
      <c r="C206" s="5"/>
      <c r="D206" s="5"/>
      <c r="E206" s="6"/>
      <c r="F206" s="6"/>
      <c r="G206" s="5"/>
      <c r="H206" s="5"/>
      <c r="I206" s="5"/>
      <c r="J206" s="7"/>
    </row>
    <row r="207">
      <c r="B207" s="4"/>
      <c r="C207" s="5"/>
      <c r="D207" s="5"/>
      <c r="E207" s="6"/>
      <c r="F207" s="6"/>
      <c r="G207" s="5"/>
      <c r="H207" s="5"/>
      <c r="I207" s="5"/>
      <c r="J207" s="7"/>
    </row>
    <row r="208">
      <c r="B208" s="4"/>
      <c r="C208" s="5"/>
      <c r="D208" s="5"/>
      <c r="E208" s="6"/>
      <c r="F208" s="6"/>
      <c r="G208" s="5"/>
      <c r="H208" s="5"/>
      <c r="I208" s="5"/>
      <c r="J208" s="7"/>
    </row>
    <row r="209">
      <c r="B209" s="4"/>
      <c r="C209" s="5"/>
      <c r="D209" s="5"/>
      <c r="E209" s="6"/>
      <c r="F209" s="6"/>
      <c r="G209" s="5"/>
      <c r="H209" s="5"/>
      <c r="I209" s="5"/>
      <c r="J209" s="7"/>
    </row>
    <row r="210">
      <c r="B210" s="4"/>
      <c r="C210" s="5"/>
      <c r="D210" s="5"/>
      <c r="E210" s="6"/>
      <c r="F210" s="6"/>
      <c r="G210" s="5"/>
      <c r="H210" s="5"/>
      <c r="I210" s="5"/>
      <c r="J210" s="7"/>
    </row>
    <row r="211">
      <c r="B211" s="4"/>
      <c r="C211" s="5"/>
      <c r="D211" s="5"/>
      <c r="E211" s="6"/>
      <c r="F211" s="6"/>
      <c r="G211" s="5"/>
      <c r="H211" s="5"/>
      <c r="I211" s="5"/>
      <c r="J211" s="7"/>
    </row>
    <row r="212">
      <c r="B212" s="4"/>
      <c r="C212" s="5"/>
      <c r="D212" s="5"/>
      <c r="E212" s="6"/>
      <c r="F212" s="6"/>
      <c r="G212" s="5"/>
      <c r="H212" s="5"/>
      <c r="I212" s="5"/>
      <c r="J212" s="7"/>
    </row>
    <row r="213">
      <c r="B213" s="4"/>
      <c r="C213" s="5"/>
      <c r="D213" s="5"/>
      <c r="E213" s="6"/>
      <c r="F213" s="6"/>
      <c r="G213" s="5"/>
      <c r="H213" s="5"/>
      <c r="I213" s="5"/>
      <c r="J213" s="7"/>
    </row>
    <row r="214">
      <c r="B214" s="4"/>
      <c r="C214" s="5"/>
      <c r="D214" s="5"/>
      <c r="E214" s="6"/>
      <c r="F214" s="6"/>
      <c r="G214" s="5"/>
      <c r="H214" s="5"/>
      <c r="I214" s="5"/>
      <c r="J214" s="7"/>
    </row>
    <row r="215">
      <c r="B215" s="4"/>
      <c r="C215" s="5"/>
      <c r="D215" s="5"/>
      <c r="E215" s="6"/>
      <c r="F215" s="6"/>
      <c r="G215" s="5"/>
      <c r="H215" s="5"/>
      <c r="I215" s="5"/>
      <c r="J215" s="7"/>
    </row>
    <row r="216">
      <c r="B216" s="4"/>
      <c r="C216" s="5"/>
      <c r="D216" s="5"/>
      <c r="E216" s="6"/>
      <c r="F216" s="6"/>
      <c r="G216" s="5"/>
      <c r="H216" s="5"/>
      <c r="I216" s="5"/>
      <c r="J216" s="7"/>
    </row>
    <row r="217">
      <c r="B217" s="4"/>
      <c r="C217" s="5"/>
      <c r="D217" s="5"/>
      <c r="E217" s="6"/>
      <c r="F217" s="6"/>
      <c r="G217" s="5"/>
      <c r="H217" s="5"/>
      <c r="I217" s="5"/>
      <c r="J217" s="7"/>
    </row>
    <row r="218">
      <c r="B218" s="4"/>
      <c r="C218" s="5"/>
      <c r="D218" s="5"/>
      <c r="E218" s="6"/>
      <c r="F218" s="6"/>
      <c r="G218" s="5"/>
      <c r="H218" s="5"/>
      <c r="I218" s="5"/>
      <c r="J218" s="7"/>
    </row>
    <row r="219">
      <c r="B219" s="4"/>
      <c r="C219" s="5"/>
      <c r="D219" s="5"/>
      <c r="E219" s="6"/>
      <c r="F219" s="6"/>
      <c r="G219" s="5"/>
      <c r="H219" s="5"/>
      <c r="I219" s="5"/>
      <c r="J219" s="7"/>
    </row>
    <row r="220">
      <c r="B220" s="4"/>
      <c r="C220" s="5"/>
      <c r="D220" s="5"/>
      <c r="E220" s="6"/>
      <c r="F220" s="6"/>
      <c r="G220" s="5"/>
      <c r="H220" s="5"/>
      <c r="I220" s="5"/>
      <c r="J220" s="7"/>
    </row>
    <row r="221">
      <c r="B221" s="4"/>
      <c r="C221" s="5"/>
      <c r="D221" s="5"/>
      <c r="E221" s="6"/>
      <c r="F221" s="6"/>
      <c r="G221" s="5"/>
      <c r="H221" s="5"/>
      <c r="I221" s="5"/>
      <c r="J221" s="7"/>
    </row>
    <row r="222">
      <c r="B222" s="4"/>
      <c r="C222" s="5"/>
      <c r="D222" s="5"/>
      <c r="E222" s="6"/>
      <c r="F222" s="6"/>
      <c r="G222" s="5"/>
      <c r="H222" s="5"/>
      <c r="I222" s="5"/>
      <c r="J222" s="7"/>
    </row>
    <row r="223">
      <c r="B223" s="4"/>
      <c r="C223" s="5"/>
      <c r="D223" s="5"/>
      <c r="E223" s="6"/>
      <c r="F223" s="6"/>
      <c r="G223" s="5"/>
      <c r="H223" s="5"/>
      <c r="I223" s="5"/>
      <c r="J223" s="7"/>
    </row>
    <row r="224">
      <c r="B224" s="4"/>
      <c r="C224" s="5"/>
      <c r="D224" s="5"/>
      <c r="E224" s="6"/>
      <c r="F224" s="6"/>
      <c r="G224" s="5"/>
      <c r="H224" s="5"/>
      <c r="I224" s="5"/>
      <c r="J224" s="7"/>
    </row>
    <row r="225">
      <c r="B225" s="4"/>
      <c r="C225" s="5"/>
      <c r="D225" s="5"/>
      <c r="E225" s="6"/>
      <c r="F225" s="6"/>
      <c r="G225" s="5"/>
      <c r="H225" s="5"/>
      <c r="I225" s="5"/>
      <c r="J225" s="7"/>
    </row>
    <row r="226">
      <c r="B226" s="4"/>
      <c r="C226" s="5"/>
      <c r="D226" s="5"/>
      <c r="E226" s="6"/>
      <c r="F226" s="6"/>
      <c r="G226" s="5"/>
      <c r="H226" s="5"/>
      <c r="I226" s="5"/>
      <c r="J226" s="7"/>
    </row>
    <row r="227">
      <c r="B227" s="4"/>
      <c r="C227" s="5"/>
      <c r="D227" s="5"/>
      <c r="E227" s="6"/>
      <c r="F227" s="6"/>
      <c r="G227" s="5"/>
      <c r="H227" s="5"/>
      <c r="I227" s="5"/>
      <c r="J227" s="7"/>
    </row>
    <row r="228">
      <c r="B228" s="4"/>
      <c r="C228" s="5"/>
      <c r="D228" s="5"/>
      <c r="E228" s="6"/>
      <c r="F228" s="6"/>
      <c r="G228" s="5"/>
      <c r="H228" s="5"/>
      <c r="I228" s="5"/>
      <c r="J228" s="7"/>
    </row>
    <row r="229">
      <c r="B229" s="4"/>
      <c r="C229" s="5"/>
      <c r="D229" s="5"/>
      <c r="E229" s="6"/>
      <c r="F229" s="6"/>
      <c r="G229" s="5"/>
      <c r="H229" s="5"/>
      <c r="I229" s="5"/>
      <c r="J229" s="7"/>
    </row>
    <row r="230">
      <c r="B230" s="4"/>
      <c r="C230" s="5"/>
      <c r="D230" s="5"/>
      <c r="E230" s="6"/>
      <c r="F230" s="6"/>
      <c r="G230" s="5"/>
      <c r="H230" s="5"/>
      <c r="I230" s="5"/>
      <c r="J230" s="7"/>
    </row>
    <row r="231">
      <c r="B231" s="4"/>
      <c r="C231" s="5"/>
      <c r="D231" s="5"/>
      <c r="E231" s="6"/>
      <c r="F231" s="6"/>
      <c r="G231" s="5"/>
      <c r="H231" s="5"/>
      <c r="I231" s="5"/>
      <c r="J231" s="7"/>
    </row>
    <row r="232">
      <c r="B232" s="4"/>
      <c r="C232" s="5"/>
      <c r="D232" s="5"/>
      <c r="E232" s="6"/>
      <c r="F232" s="6"/>
      <c r="G232" s="5"/>
      <c r="H232" s="5"/>
      <c r="I232" s="5"/>
      <c r="J232" s="7"/>
    </row>
    <row r="233">
      <c r="B233" s="4"/>
      <c r="C233" s="5"/>
      <c r="D233" s="5"/>
      <c r="E233" s="6"/>
      <c r="F233" s="6"/>
      <c r="G233" s="5"/>
      <c r="H233" s="5"/>
      <c r="I233" s="5"/>
      <c r="J233" s="7"/>
    </row>
    <row r="234">
      <c r="B234" s="4"/>
      <c r="C234" s="5"/>
      <c r="D234" s="5"/>
      <c r="E234" s="6"/>
      <c r="F234" s="6"/>
      <c r="G234" s="5"/>
      <c r="H234" s="5"/>
      <c r="I234" s="5"/>
      <c r="J234" s="7"/>
    </row>
    <row r="235">
      <c r="B235" s="4"/>
      <c r="C235" s="5"/>
      <c r="D235" s="5"/>
      <c r="E235" s="6"/>
      <c r="F235" s="6"/>
      <c r="G235" s="5"/>
      <c r="H235" s="5"/>
      <c r="I235" s="5"/>
      <c r="J235" s="7"/>
    </row>
    <row r="236">
      <c r="B236" s="4"/>
      <c r="C236" s="5"/>
      <c r="D236" s="5"/>
      <c r="E236" s="6"/>
      <c r="F236" s="6"/>
      <c r="G236" s="5"/>
      <c r="H236" s="5"/>
      <c r="I236" s="5"/>
      <c r="J236" s="7"/>
    </row>
    <row r="237">
      <c r="B237" s="4"/>
      <c r="C237" s="5"/>
      <c r="D237" s="5"/>
      <c r="E237" s="6"/>
      <c r="F237" s="6"/>
      <c r="G237" s="5"/>
      <c r="H237" s="5"/>
      <c r="I237" s="5"/>
      <c r="J237" s="7"/>
    </row>
    <row r="238">
      <c r="B238" s="4"/>
      <c r="C238" s="5"/>
      <c r="D238" s="5"/>
      <c r="E238" s="6"/>
      <c r="F238" s="6"/>
      <c r="G238" s="5"/>
      <c r="H238" s="5"/>
      <c r="I238" s="5"/>
      <c r="J238" s="7"/>
    </row>
    <row r="239">
      <c r="B239" s="4"/>
      <c r="C239" s="5"/>
      <c r="D239" s="5"/>
      <c r="E239" s="6"/>
      <c r="F239" s="6"/>
      <c r="G239" s="5"/>
      <c r="H239" s="5"/>
      <c r="I239" s="5"/>
      <c r="J239" s="7"/>
    </row>
    <row r="240">
      <c r="B240" s="4"/>
      <c r="C240" s="5"/>
      <c r="D240" s="5"/>
      <c r="E240" s="6"/>
      <c r="F240" s="6"/>
      <c r="G240" s="5"/>
      <c r="H240" s="5"/>
      <c r="I240" s="5"/>
      <c r="J240" s="7"/>
    </row>
    <row r="241">
      <c r="B241" s="4"/>
      <c r="C241" s="5"/>
      <c r="D241" s="5"/>
      <c r="E241" s="6"/>
      <c r="F241" s="6"/>
      <c r="G241" s="5"/>
      <c r="H241" s="5"/>
      <c r="I241" s="5"/>
      <c r="J241" s="7"/>
    </row>
    <row r="242">
      <c r="B242" s="4"/>
      <c r="C242" s="5"/>
      <c r="D242" s="5"/>
      <c r="E242" s="6"/>
      <c r="F242" s="6"/>
      <c r="G242" s="5"/>
      <c r="H242" s="5"/>
      <c r="I242" s="5"/>
      <c r="J242" s="7"/>
    </row>
    <row r="243">
      <c r="B243" s="4"/>
      <c r="C243" s="5"/>
      <c r="D243" s="5"/>
      <c r="E243" s="6"/>
      <c r="F243" s="6"/>
      <c r="G243" s="5"/>
      <c r="H243" s="5"/>
      <c r="I243" s="5"/>
      <c r="J243" s="7"/>
    </row>
    <row r="244">
      <c r="B244" s="4"/>
      <c r="C244" s="5"/>
      <c r="D244" s="5"/>
      <c r="E244" s="6"/>
      <c r="F244" s="6"/>
      <c r="G244" s="5"/>
      <c r="H244" s="5"/>
      <c r="I244" s="5"/>
      <c r="J244" s="7"/>
    </row>
    <row r="245">
      <c r="B245" s="4"/>
      <c r="C245" s="5"/>
      <c r="D245" s="5"/>
      <c r="E245" s="6"/>
      <c r="F245" s="6"/>
      <c r="G245" s="5"/>
      <c r="H245" s="5"/>
      <c r="I245" s="5"/>
      <c r="J245" s="7"/>
    </row>
    <row r="246">
      <c r="B246" s="4"/>
      <c r="C246" s="5"/>
      <c r="D246" s="5"/>
      <c r="E246" s="6"/>
      <c r="F246" s="6"/>
      <c r="G246" s="5"/>
      <c r="H246" s="5"/>
      <c r="I246" s="5"/>
      <c r="J246" s="7"/>
    </row>
    <row r="247">
      <c r="B247" s="4"/>
      <c r="C247" s="5"/>
      <c r="D247" s="5"/>
      <c r="E247" s="6"/>
      <c r="F247" s="6"/>
      <c r="G247" s="5"/>
      <c r="H247" s="5"/>
      <c r="I247" s="5"/>
      <c r="J247" s="7"/>
    </row>
    <row r="248">
      <c r="B248" s="4"/>
      <c r="C248" s="5"/>
      <c r="D248" s="5"/>
      <c r="E248" s="6"/>
      <c r="F248" s="6"/>
      <c r="G248" s="5"/>
      <c r="H248" s="5"/>
      <c r="I248" s="5"/>
      <c r="J248" s="7"/>
    </row>
    <row r="249">
      <c r="B249" s="4"/>
      <c r="C249" s="5"/>
      <c r="D249" s="5"/>
      <c r="E249" s="6"/>
      <c r="F249" s="6"/>
      <c r="G249" s="5"/>
      <c r="H249" s="5"/>
      <c r="I249" s="5"/>
      <c r="J249" s="7"/>
    </row>
    <row r="250">
      <c r="B250" s="4"/>
      <c r="C250" s="5"/>
      <c r="D250" s="5"/>
      <c r="E250" s="6"/>
      <c r="F250" s="6"/>
      <c r="G250" s="5"/>
      <c r="H250" s="5"/>
      <c r="I250" s="5"/>
      <c r="J250" s="7"/>
    </row>
    <row r="251">
      <c r="B251" s="4"/>
      <c r="C251" s="5"/>
      <c r="D251" s="5"/>
      <c r="E251" s="6"/>
      <c r="F251" s="6"/>
      <c r="G251" s="5"/>
      <c r="H251" s="5"/>
      <c r="I251" s="5"/>
      <c r="J251" s="7"/>
    </row>
    <row r="252">
      <c r="B252" s="4"/>
      <c r="C252" s="5"/>
      <c r="D252" s="5"/>
      <c r="E252" s="6"/>
      <c r="F252" s="6"/>
      <c r="G252" s="5"/>
      <c r="H252" s="5"/>
      <c r="I252" s="5"/>
      <c r="J252" s="7"/>
    </row>
    <row r="253">
      <c r="B253" s="4"/>
      <c r="C253" s="5"/>
      <c r="D253" s="5"/>
      <c r="E253" s="6"/>
      <c r="F253" s="6"/>
      <c r="G253" s="5"/>
      <c r="H253" s="5"/>
      <c r="I253" s="5"/>
      <c r="J253" s="7"/>
    </row>
    <row r="254">
      <c r="B254" s="4"/>
      <c r="C254" s="5"/>
      <c r="D254" s="5"/>
      <c r="E254" s="6"/>
      <c r="F254" s="6"/>
      <c r="G254" s="5"/>
      <c r="H254" s="5"/>
      <c r="I254" s="5"/>
      <c r="J254" s="7"/>
    </row>
    <row r="255">
      <c r="B255" s="4"/>
      <c r="C255" s="5"/>
      <c r="D255" s="5"/>
      <c r="E255" s="6"/>
      <c r="F255" s="6"/>
      <c r="G255" s="5"/>
      <c r="H255" s="5"/>
      <c r="I255" s="5"/>
      <c r="J255" s="7"/>
    </row>
    <row r="256">
      <c r="B256" s="4"/>
      <c r="C256" s="5"/>
      <c r="D256" s="5"/>
      <c r="E256" s="6"/>
      <c r="F256" s="6"/>
      <c r="G256" s="5"/>
      <c r="H256" s="5"/>
      <c r="I256" s="5"/>
      <c r="J256" s="7"/>
    </row>
    <row r="257">
      <c r="B257" s="4"/>
      <c r="C257" s="5"/>
      <c r="D257" s="5"/>
      <c r="E257" s="6"/>
      <c r="F257" s="6"/>
      <c r="G257" s="5"/>
      <c r="H257" s="5"/>
      <c r="I257" s="5"/>
      <c r="J257" s="7"/>
    </row>
    <row r="258">
      <c r="B258" s="4"/>
      <c r="C258" s="5"/>
      <c r="D258" s="5"/>
      <c r="E258" s="6"/>
      <c r="F258" s="6"/>
      <c r="G258" s="5"/>
      <c r="H258" s="5"/>
      <c r="I258" s="5"/>
      <c r="J258" s="7"/>
    </row>
    <row r="259">
      <c r="B259" s="4"/>
      <c r="C259" s="5"/>
      <c r="D259" s="5"/>
      <c r="E259" s="6"/>
      <c r="F259" s="6"/>
      <c r="G259" s="5"/>
      <c r="H259" s="5"/>
      <c r="I259" s="5"/>
      <c r="J259" s="7"/>
    </row>
    <row r="260">
      <c r="B260" s="4"/>
      <c r="C260" s="5"/>
      <c r="D260" s="5"/>
      <c r="E260" s="6"/>
      <c r="F260" s="6"/>
      <c r="G260" s="5"/>
      <c r="H260" s="5"/>
      <c r="I260" s="5"/>
      <c r="J260" s="7"/>
    </row>
    <row r="261">
      <c r="B261" s="4"/>
      <c r="C261" s="5"/>
      <c r="D261" s="5"/>
      <c r="E261" s="6"/>
      <c r="F261" s="6"/>
      <c r="G261" s="5"/>
      <c r="H261" s="5"/>
      <c r="I261" s="5"/>
      <c r="J261" s="7"/>
    </row>
    <row r="262">
      <c r="B262" s="4"/>
      <c r="C262" s="5"/>
      <c r="D262" s="5"/>
      <c r="E262" s="6"/>
      <c r="F262" s="6"/>
      <c r="G262" s="5"/>
      <c r="H262" s="5"/>
      <c r="I262" s="5"/>
      <c r="J262" s="7"/>
    </row>
    <row r="263">
      <c r="B263" s="4"/>
      <c r="C263" s="5"/>
      <c r="D263" s="5"/>
      <c r="E263" s="6"/>
      <c r="F263" s="6"/>
      <c r="G263" s="5"/>
      <c r="H263" s="5"/>
      <c r="I263" s="5"/>
      <c r="J263" s="7"/>
    </row>
    <row r="264">
      <c r="B264" s="4"/>
      <c r="C264" s="5"/>
      <c r="D264" s="5"/>
      <c r="E264" s="6"/>
      <c r="F264" s="6"/>
      <c r="G264" s="5"/>
      <c r="H264" s="5"/>
      <c r="I264" s="5"/>
      <c r="J264" s="7"/>
    </row>
    <row r="265">
      <c r="B265" s="4"/>
      <c r="C265" s="5"/>
      <c r="D265" s="5"/>
      <c r="E265" s="6"/>
      <c r="F265" s="6"/>
      <c r="G265" s="5"/>
      <c r="H265" s="5"/>
      <c r="I265" s="5"/>
      <c r="J265" s="7"/>
    </row>
    <row r="266">
      <c r="B266" s="4"/>
      <c r="C266" s="5"/>
      <c r="D266" s="5"/>
      <c r="E266" s="6"/>
      <c r="F266" s="6"/>
      <c r="G266" s="5"/>
      <c r="H266" s="5"/>
      <c r="I266" s="5"/>
      <c r="J266" s="7"/>
    </row>
    <row r="267">
      <c r="B267" s="4"/>
      <c r="C267" s="5"/>
      <c r="D267" s="5"/>
      <c r="E267" s="6"/>
      <c r="F267" s="6"/>
      <c r="G267" s="5"/>
      <c r="H267" s="5"/>
      <c r="I267" s="5"/>
      <c r="J267" s="7"/>
    </row>
    <row r="268">
      <c r="B268" s="4"/>
      <c r="C268" s="5"/>
      <c r="D268" s="5"/>
      <c r="E268" s="6"/>
      <c r="F268" s="6"/>
      <c r="G268" s="5"/>
      <c r="H268" s="5"/>
      <c r="I268" s="5"/>
      <c r="J268" s="7"/>
    </row>
    <row r="269">
      <c r="B269" s="4"/>
      <c r="C269" s="5"/>
      <c r="D269" s="5"/>
      <c r="E269" s="6"/>
      <c r="F269" s="6"/>
      <c r="G269" s="5"/>
      <c r="H269" s="5"/>
      <c r="I269" s="5"/>
      <c r="J269" s="7"/>
    </row>
    <row r="270">
      <c r="B270" s="4"/>
      <c r="C270" s="5"/>
      <c r="D270" s="5"/>
      <c r="E270" s="6"/>
      <c r="F270" s="6"/>
      <c r="G270" s="5"/>
      <c r="H270" s="5"/>
      <c r="I270" s="5"/>
      <c r="J270" s="7"/>
    </row>
    <row r="271">
      <c r="B271" s="4"/>
      <c r="C271" s="5"/>
      <c r="D271" s="5"/>
      <c r="E271" s="6"/>
      <c r="F271" s="6"/>
      <c r="G271" s="5"/>
      <c r="H271" s="5"/>
      <c r="I271" s="5"/>
      <c r="J271" s="7"/>
    </row>
    <row r="272">
      <c r="B272" s="4"/>
      <c r="C272" s="5"/>
      <c r="D272" s="5"/>
      <c r="E272" s="6"/>
      <c r="F272" s="6"/>
      <c r="G272" s="5"/>
      <c r="H272" s="5"/>
      <c r="I272" s="5"/>
      <c r="J272" s="7"/>
    </row>
    <row r="273">
      <c r="B273" s="4"/>
      <c r="C273" s="5"/>
      <c r="D273" s="5"/>
      <c r="E273" s="6"/>
      <c r="F273" s="6"/>
      <c r="G273" s="5"/>
      <c r="H273" s="5"/>
      <c r="I273" s="5"/>
      <c r="J273" s="7"/>
    </row>
    <row r="274">
      <c r="B274" s="4"/>
      <c r="C274" s="5"/>
      <c r="D274" s="5"/>
      <c r="E274" s="6"/>
      <c r="F274" s="6"/>
      <c r="G274" s="5"/>
      <c r="H274" s="5"/>
      <c r="I274" s="5"/>
      <c r="J274" s="7"/>
    </row>
    <row r="275">
      <c r="B275" s="4"/>
      <c r="C275" s="5"/>
      <c r="D275" s="5"/>
      <c r="E275" s="6"/>
      <c r="F275" s="6"/>
      <c r="G275" s="5"/>
      <c r="H275" s="5"/>
      <c r="I275" s="5"/>
      <c r="J275" s="7"/>
    </row>
    <row r="276">
      <c r="B276" s="4"/>
      <c r="C276" s="5"/>
      <c r="D276" s="5"/>
      <c r="E276" s="6"/>
      <c r="F276" s="6"/>
      <c r="G276" s="5"/>
      <c r="H276" s="5"/>
      <c r="I276" s="5"/>
      <c r="J276" s="7"/>
    </row>
    <row r="277">
      <c r="B277" s="4"/>
      <c r="C277" s="5"/>
      <c r="D277" s="5"/>
      <c r="E277" s="6"/>
      <c r="F277" s="6"/>
      <c r="G277" s="5"/>
      <c r="H277" s="5"/>
      <c r="I277" s="5"/>
      <c r="J277" s="7"/>
    </row>
    <row r="278">
      <c r="B278" s="4"/>
      <c r="C278" s="5"/>
      <c r="D278" s="5"/>
      <c r="E278" s="6"/>
      <c r="F278" s="6"/>
      <c r="G278" s="5"/>
      <c r="H278" s="5"/>
      <c r="I278" s="5"/>
      <c r="J278" s="7"/>
    </row>
    <row r="279">
      <c r="B279" s="4"/>
      <c r="C279" s="5"/>
      <c r="D279" s="5"/>
      <c r="E279" s="6"/>
      <c r="F279" s="6"/>
      <c r="G279" s="5"/>
      <c r="H279" s="5"/>
      <c r="I279" s="5"/>
      <c r="J279" s="7"/>
    </row>
    <row r="280">
      <c r="B280" s="4"/>
      <c r="C280" s="5"/>
      <c r="D280" s="5"/>
      <c r="E280" s="6"/>
      <c r="F280" s="6"/>
      <c r="G280" s="5"/>
      <c r="H280" s="5"/>
      <c r="I280" s="5"/>
      <c r="J280" s="7"/>
    </row>
    <row r="281">
      <c r="B281" s="4"/>
      <c r="C281" s="5"/>
      <c r="D281" s="5"/>
      <c r="E281" s="6"/>
      <c r="F281" s="6"/>
      <c r="G281" s="5"/>
      <c r="H281" s="5"/>
      <c r="I281" s="5"/>
      <c r="J281" s="7"/>
    </row>
    <row r="282">
      <c r="B282" s="4"/>
      <c r="C282" s="5"/>
      <c r="D282" s="5"/>
      <c r="E282" s="6"/>
      <c r="F282" s="6"/>
      <c r="G282" s="5"/>
      <c r="H282" s="5"/>
      <c r="I282" s="5"/>
      <c r="J282" s="7"/>
    </row>
    <row r="283">
      <c r="B283" s="4"/>
      <c r="C283" s="5"/>
      <c r="D283" s="5"/>
      <c r="E283" s="6"/>
      <c r="F283" s="6"/>
      <c r="G283" s="5"/>
      <c r="H283" s="5"/>
      <c r="I283" s="5"/>
      <c r="J283" s="7"/>
    </row>
    <row r="284">
      <c r="B284" s="4"/>
      <c r="C284" s="5"/>
      <c r="D284" s="5"/>
      <c r="E284" s="6"/>
      <c r="F284" s="6"/>
      <c r="G284" s="5"/>
      <c r="H284" s="5"/>
      <c r="I284" s="5"/>
      <c r="J284" s="7"/>
    </row>
    <row r="285">
      <c r="B285" s="4"/>
      <c r="C285" s="5"/>
      <c r="D285" s="5"/>
      <c r="E285" s="6"/>
      <c r="F285" s="6"/>
      <c r="G285" s="5"/>
      <c r="H285" s="5"/>
      <c r="I285" s="5"/>
      <c r="J285" s="7"/>
    </row>
    <row r="286">
      <c r="B286" s="4"/>
      <c r="C286" s="5"/>
      <c r="D286" s="5"/>
      <c r="E286" s="6"/>
      <c r="F286" s="6"/>
      <c r="G286" s="5"/>
      <c r="H286" s="5"/>
      <c r="I286" s="5"/>
      <c r="J286" s="7"/>
    </row>
    <row r="287">
      <c r="B287" s="4"/>
      <c r="C287" s="5"/>
      <c r="D287" s="5"/>
      <c r="E287" s="6"/>
      <c r="F287" s="6"/>
      <c r="G287" s="5"/>
      <c r="H287" s="5"/>
      <c r="I287" s="5"/>
      <c r="J287" s="7"/>
    </row>
    <row r="288">
      <c r="B288" s="4"/>
      <c r="C288" s="5"/>
      <c r="D288" s="5"/>
      <c r="E288" s="6"/>
      <c r="F288" s="6"/>
      <c r="G288" s="5"/>
      <c r="H288" s="5"/>
      <c r="I288" s="5"/>
      <c r="J288" s="7"/>
    </row>
    <row r="289">
      <c r="B289" s="4"/>
      <c r="C289" s="5"/>
      <c r="D289" s="5"/>
      <c r="E289" s="6"/>
      <c r="F289" s="6"/>
      <c r="G289" s="5"/>
      <c r="H289" s="5"/>
      <c r="I289" s="5"/>
      <c r="J289" s="7"/>
    </row>
    <row r="290">
      <c r="B290" s="4"/>
      <c r="C290" s="5"/>
      <c r="D290" s="5"/>
      <c r="E290" s="6"/>
      <c r="F290" s="6"/>
      <c r="G290" s="5"/>
      <c r="H290" s="5"/>
      <c r="I290" s="5"/>
      <c r="J290" s="7"/>
    </row>
    <row r="291">
      <c r="B291" s="4"/>
      <c r="C291" s="5"/>
      <c r="D291" s="5"/>
      <c r="E291" s="6"/>
      <c r="F291" s="6"/>
      <c r="G291" s="5"/>
      <c r="H291" s="5"/>
      <c r="I291" s="5"/>
      <c r="J291" s="7"/>
    </row>
    <row r="292">
      <c r="B292" s="4"/>
      <c r="C292" s="5"/>
      <c r="D292" s="5"/>
      <c r="E292" s="6"/>
      <c r="F292" s="6"/>
      <c r="G292" s="5"/>
      <c r="H292" s="5"/>
      <c r="I292" s="5"/>
      <c r="J292" s="7"/>
    </row>
    <row r="293">
      <c r="B293" s="4"/>
      <c r="C293" s="5"/>
      <c r="D293" s="5"/>
      <c r="E293" s="6"/>
      <c r="F293" s="6"/>
      <c r="G293" s="5"/>
      <c r="H293" s="5"/>
      <c r="I293" s="5"/>
      <c r="J293" s="7"/>
    </row>
    <row r="294">
      <c r="B294" s="4"/>
      <c r="C294" s="5"/>
      <c r="D294" s="5"/>
      <c r="E294" s="6"/>
      <c r="F294" s="6"/>
      <c r="G294" s="5"/>
      <c r="H294" s="5"/>
      <c r="I294" s="5"/>
      <c r="J294" s="7"/>
    </row>
    <row r="295">
      <c r="B295" s="4"/>
      <c r="C295" s="5"/>
      <c r="D295" s="5"/>
      <c r="E295" s="6"/>
      <c r="F295" s="6"/>
      <c r="G295" s="5"/>
      <c r="H295" s="5"/>
      <c r="I295" s="5"/>
      <c r="J295" s="7"/>
    </row>
    <row r="296">
      <c r="B296" s="4"/>
      <c r="C296" s="5"/>
      <c r="D296" s="5"/>
      <c r="E296" s="6"/>
      <c r="F296" s="6"/>
      <c r="G296" s="5"/>
      <c r="H296" s="5"/>
      <c r="I296" s="5"/>
      <c r="J296" s="7"/>
    </row>
    <row r="297">
      <c r="B297" s="4"/>
      <c r="C297" s="5"/>
      <c r="D297" s="5"/>
      <c r="E297" s="6"/>
      <c r="F297" s="6"/>
      <c r="G297" s="5"/>
      <c r="H297" s="5"/>
      <c r="I297" s="5"/>
      <c r="J297" s="7"/>
    </row>
    <row r="298">
      <c r="B298" s="4"/>
      <c r="C298" s="5"/>
      <c r="D298" s="5"/>
      <c r="E298" s="6"/>
      <c r="F298" s="6"/>
      <c r="G298" s="5"/>
      <c r="H298" s="5"/>
      <c r="I298" s="5"/>
      <c r="J298" s="7"/>
    </row>
    <row r="299">
      <c r="B299" s="4"/>
      <c r="C299" s="5"/>
      <c r="D299" s="5"/>
      <c r="E299" s="6"/>
      <c r="F299" s="6"/>
      <c r="G299" s="5"/>
      <c r="H299" s="5"/>
      <c r="I299" s="5"/>
      <c r="J299" s="7"/>
    </row>
    <row r="300">
      <c r="B300" s="4"/>
      <c r="C300" s="5"/>
      <c r="D300" s="5"/>
      <c r="E300" s="6"/>
      <c r="F300" s="6"/>
      <c r="G300" s="5"/>
      <c r="H300" s="5"/>
      <c r="I300" s="5"/>
      <c r="J300" s="7"/>
    </row>
    <row r="301">
      <c r="B301" s="4"/>
      <c r="C301" s="5"/>
      <c r="D301" s="5"/>
      <c r="E301" s="6"/>
      <c r="F301" s="6"/>
      <c r="G301" s="5"/>
      <c r="H301" s="5"/>
      <c r="I301" s="5"/>
      <c r="J301" s="7"/>
    </row>
    <row r="302">
      <c r="B302" s="4"/>
      <c r="C302" s="5"/>
      <c r="D302" s="5"/>
      <c r="E302" s="6"/>
      <c r="F302" s="6"/>
      <c r="G302" s="5"/>
      <c r="H302" s="5"/>
      <c r="I302" s="5"/>
      <c r="J302" s="7"/>
    </row>
    <row r="303">
      <c r="B303" s="4"/>
      <c r="C303" s="5"/>
      <c r="D303" s="5"/>
      <c r="E303" s="6"/>
      <c r="F303" s="6"/>
      <c r="G303" s="5"/>
      <c r="H303" s="5"/>
      <c r="I303" s="5"/>
      <c r="J303" s="7"/>
    </row>
    <row r="304">
      <c r="B304" s="4"/>
      <c r="C304" s="5"/>
      <c r="D304" s="5"/>
      <c r="E304" s="6"/>
      <c r="F304" s="6"/>
      <c r="G304" s="5"/>
      <c r="H304" s="5"/>
      <c r="I304" s="5"/>
      <c r="J304" s="7"/>
    </row>
    <row r="305">
      <c r="B305" s="4"/>
      <c r="C305" s="5"/>
      <c r="D305" s="5"/>
      <c r="E305" s="6"/>
      <c r="F305" s="6"/>
      <c r="G305" s="5"/>
      <c r="H305" s="5"/>
      <c r="I305" s="5"/>
      <c r="J305" s="7"/>
    </row>
    <row r="306">
      <c r="B306" s="4"/>
      <c r="C306" s="5"/>
      <c r="D306" s="5"/>
      <c r="E306" s="6"/>
      <c r="F306" s="6"/>
      <c r="G306" s="5"/>
      <c r="H306" s="5"/>
      <c r="I306" s="5"/>
      <c r="J306" s="7"/>
    </row>
    <row r="307">
      <c r="B307" s="4"/>
      <c r="C307" s="5"/>
      <c r="D307" s="5"/>
      <c r="E307" s="6"/>
      <c r="F307" s="6"/>
      <c r="G307" s="5"/>
      <c r="H307" s="5"/>
      <c r="I307" s="5"/>
      <c r="J307" s="7"/>
    </row>
    <row r="308">
      <c r="B308" s="4"/>
      <c r="C308" s="5"/>
      <c r="D308" s="5"/>
      <c r="E308" s="6"/>
      <c r="F308" s="6"/>
      <c r="G308" s="5"/>
      <c r="H308" s="5"/>
      <c r="I308" s="5"/>
      <c r="J308" s="7"/>
    </row>
    <row r="309">
      <c r="B309" s="4"/>
      <c r="C309" s="5"/>
      <c r="D309" s="5"/>
      <c r="E309" s="6"/>
      <c r="F309" s="6"/>
      <c r="G309" s="5"/>
      <c r="H309" s="5"/>
      <c r="I309" s="5"/>
      <c r="J309" s="7"/>
    </row>
    <row r="310">
      <c r="B310" s="4"/>
      <c r="C310" s="5"/>
      <c r="D310" s="5"/>
      <c r="E310" s="6"/>
      <c r="F310" s="6"/>
      <c r="G310" s="5"/>
      <c r="H310" s="5"/>
      <c r="I310" s="5"/>
      <c r="J310" s="7"/>
    </row>
    <row r="311">
      <c r="B311" s="4"/>
      <c r="C311" s="5"/>
      <c r="D311" s="5"/>
      <c r="E311" s="6"/>
      <c r="F311" s="6"/>
      <c r="G311" s="5"/>
      <c r="H311" s="5"/>
      <c r="I311" s="5"/>
      <c r="J311" s="7"/>
    </row>
    <row r="312">
      <c r="B312" s="4"/>
      <c r="C312" s="5"/>
      <c r="D312" s="5"/>
      <c r="E312" s="6"/>
      <c r="F312" s="6"/>
      <c r="G312" s="5"/>
      <c r="H312" s="5"/>
      <c r="I312" s="5"/>
      <c r="J312" s="7"/>
    </row>
    <row r="313">
      <c r="B313" s="4"/>
      <c r="C313" s="5"/>
      <c r="D313" s="5"/>
      <c r="E313" s="6"/>
      <c r="F313" s="6"/>
      <c r="G313" s="5"/>
      <c r="H313" s="5"/>
      <c r="I313" s="5"/>
      <c r="J313" s="7"/>
    </row>
    <row r="314">
      <c r="B314" s="4"/>
      <c r="C314" s="5"/>
      <c r="D314" s="5"/>
      <c r="E314" s="6"/>
      <c r="F314" s="6"/>
      <c r="G314" s="5"/>
      <c r="H314" s="5"/>
      <c r="I314" s="5"/>
      <c r="J314" s="7"/>
    </row>
    <row r="315">
      <c r="B315" s="4"/>
      <c r="C315" s="5"/>
      <c r="D315" s="5"/>
      <c r="E315" s="6"/>
      <c r="F315" s="6"/>
      <c r="G315" s="5"/>
      <c r="H315" s="5"/>
      <c r="I315" s="5"/>
      <c r="J315" s="7"/>
    </row>
  </sheetData>
  <mergeCells count="6">
    <mergeCell ref="B5:C5"/>
    <mergeCell ref="B6:C6"/>
    <mergeCell ref="B8:C8"/>
    <mergeCell ref="B11:C11"/>
    <mergeCell ref="B12:C12"/>
    <mergeCell ref="A1:K1"/>
  </mergeCells>
  <dataValidations>
    <dataValidation type="list" allowBlank="1" showErrorMessage="1" sqref="C3">
      <formula1>'Support Sheet'!$A$1:$A$12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8" t="s">
        <v>108</v>
      </c>
    </row>
    <row r="2">
      <c r="A2" s="18" t="s">
        <v>113</v>
      </c>
    </row>
    <row r="3">
      <c r="A3" s="18" t="s">
        <v>114</v>
      </c>
    </row>
    <row r="4">
      <c r="A4" s="18" t="s">
        <v>115</v>
      </c>
    </row>
    <row r="5">
      <c r="A5" s="18" t="s">
        <v>116</v>
      </c>
    </row>
    <row r="6">
      <c r="A6" s="18" t="s">
        <v>117</v>
      </c>
    </row>
    <row r="7">
      <c r="A7" s="18" t="s">
        <v>118</v>
      </c>
    </row>
    <row r="8">
      <c r="A8" s="18" t="s">
        <v>119</v>
      </c>
    </row>
    <row r="9">
      <c r="A9" s="18" t="s">
        <v>120</v>
      </c>
    </row>
    <row r="10">
      <c r="A10" s="18" t="s">
        <v>121</v>
      </c>
    </row>
    <row r="11">
      <c r="A11" s="18" t="s">
        <v>122</v>
      </c>
    </row>
    <row r="12">
      <c r="A12" s="18" t="s">
        <v>123</v>
      </c>
    </row>
  </sheetData>
  <drawing r:id="rId1"/>
</worksheet>
</file>